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8_{3FC66DDA-1E69-4B4F-AFF1-207D358E2318}" xr6:coauthVersionLast="47" xr6:coauthVersionMax="47" xr10:uidLastSave="{00000000-0000-0000-0000-000000000000}"/>
  <bookViews>
    <workbookView xWindow="-120" yWindow="-120" windowWidth="20730" windowHeight="11160" firstSheet="1" activeTab="1" xr2:uid="{76630956-CDA8-4FC4-B876-9EA3E9BB0C58}"/>
  </bookViews>
  <sheets>
    <sheet name="Sheet1" sheetId="1" r:id="rId1"/>
    <sheet name="business insight" sheetId="3" r:id="rId2"/>
    <sheet name="Sheet2" sheetId="7" r:id="rId3"/>
    <sheet name="Sheet3" sheetId="8" r:id="rId4"/>
    <sheet name="pivot_table" sheetId="5" r:id="rId5"/>
    <sheet name="DASHBOARD" sheetId="6" r:id="rId6"/>
  </sheets>
  <definedNames>
    <definedName name="Slicer_Product">#N/A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6" l="1"/>
  <c r="I5" i="6"/>
  <c r="K5" i="6"/>
  <c r="M3" i="5"/>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L5" i="1"/>
  <c r="L3" i="1"/>
  <c r="L7" i="1"/>
  <c r="L9" i="1"/>
  <c r="J15" i="1"/>
  <c r="N3" i="1"/>
  <c r="L24" i="1"/>
  <c r="L22" i="1"/>
  <c r="L20" i="1"/>
  <c r="L18" i="1"/>
  <c r="L26" i="1" s="1"/>
  <c r="J19" i="1"/>
  <c r="J17" i="1"/>
  <c r="J13" i="1"/>
  <c r="S9" i="1"/>
  <c r="S7" i="1"/>
  <c r="S5" i="1"/>
  <c r="S3" i="1"/>
  <c r="N11" i="1"/>
  <c r="N9" i="1"/>
  <c r="N7" i="1"/>
  <c r="N5" i="1"/>
  <c r="K9" i="1"/>
  <c r="K7" i="1"/>
  <c r="K5" i="1"/>
  <c r="K3" i="1"/>
  <c r="N14" i="1" l="1"/>
</calcChain>
</file>

<file path=xl/sharedStrings.xml><?xml version="1.0" encoding="utf-8"?>
<sst xmlns="http://schemas.openxmlformats.org/spreadsheetml/2006/main" count="3580" uniqueCount="532">
  <si>
    <t xml:space="preserve">Order_ID </t>
  </si>
  <si>
    <t xml:space="preserve">Customer_ID </t>
  </si>
  <si>
    <t xml:space="preserve">Customer_Name </t>
  </si>
  <si>
    <t>Region</t>
  </si>
  <si>
    <t xml:space="preserve"> Product </t>
  </si>
  <si>
    <t xml:space="preserve">Quantity </t>
  </si>
  <si>
    <t>Unit_Price</t>
  </si>
  <si>
    <t>ORD001</t>
  </si>
  <si>
    <t>CUST001</t>
  </si>
  <si>
    <t>John</t>
  </si>
  <si>
    <t>North</t>
  </si>
  <si>
    <t>Electronics</t>
  </si>
  <si>
    <t>ORD002</t>
  </si>
  <si>
    <t>CUST002</t>
  </si>
  <si>
    <t>Mary</t>
  </si>
  <si>
    <t>South</t>
  </si>
  <si>
    <t>Furniture</t>
  </si>
  <si>
    <t>Food</t>
  </si>
  <si>
    <t>ORD003</t>
  </si>
  <si>
    <t>CUST003</t>
  </si>
  <si>
    <t>David</t>
  </si>
  <si>
    <t>East</t>
  </si>
  <si>
    <t>Clothing</t>
  </si>
  <si>
    <t>ORD004</t>
  </si>
  <si>
    <t>CUST004</t>
  </si>
  <si>
    <t>Sarah</t>
  </si>
  <si>
    <t>West</t>
  </si>
  <si>
    <t>ORD005</t>
  </si>
  <si>
    <t>CUST005</t>
  </si>
  <si>
    <t>Michael</t>
  </si>
  <si>
    <t>ORD006</t>
  </si>
  <si>
    <t>CUST006</t>
  </si>
  <si>
    <t>Grace</t>
  </si>
  <si>
    <t>ORD007</t>
  </si>
  <si>
    <t>CUST007</t>
  </si>
  <si>
    <t>Daniel</t>
  </si>
  <si>
    <t>ORD008</t>
  </si>
  <si>
    <t>CUST008</t>
  </si>
  <si>
    <t>Linda</t>
  </si>
  <si>
    <t>ORD009</t>
  </si>
  <si>
    <t>CUST009</t>
  </si>
  <si>
    <t>ORD010</t>
  </si>
  <si>
    <t>CUST010</t>
  </si>
  <si>
    <t>ORD011</t>
  </si>
  <si>
    <t>CUST011</t>
  </si>
  <si>
    <t>ORD012</t>
  </si>
  <si>
    <t>CUST012</t>
  </si>
  <si>
    <t>ORD013</t>
  </si>
  <si>
    <t>CUST013</t>
  </si>
  <si>
    <t>ORD014</t>
  </si>
  <si>
    <t>CUST014</t>
  </si>
  <si>
    <t>ORD015</t>
  </si>
  <si>
    <t>CUST015</t>
  </si>
  <si>
    <t>ORD016</t>
  </si>
  <si>
    <t>CUST016</t>
  </si>
  <si>
    <t>ORD017</t>
  </si>
  <si>
    <t>CUST017</t>
  </si>
  <si>
    <t>ORD018</t>
  </si>
  <si>
    <t>CUST018</t>
  </si>
  <si>
    <t>ORD019</t>
  </si>
  <si>
    <t>CUST019</t>
  </si>
  <si>
    <t>ORD020</t>
  </si>
  <si>
    <t>CUST020</t>
  </si>
  <si>
    <t>ORD021</t>
  </si>
  <si>
    <t>CUST021</t>
  </si>
  <si>
    <t>ORD022</t>
  </si>
  <si>
    <t>CUST022</t>
  </si>
  <si>
    <t>ORD023</t>
  </si>
  <si>
    <t>CUST023</t>
  </si>
  <si>
    <t>ORD024</t>
  </si>
  <si>
    <t>CUST024</t>
  </si>
  <si>
    <t>ORD025</t>
  </si>
  <si>
    <t>CUST025</t>
  </si>
  <si>
    <t>ORD026</t>
  </si>
  <si>
    <t>CUST026</t>
  </si>
  <si>
    <t>ORD027</t>
  </si>
  <si>
    <t>CUST027</t>
  </si>
  <si>
    <t>ORD028</t>
  </si>
  <si>
    <t>CUST028</t>
  </si>
  <si>
    <t>ORD029</t>
  </si>
  <si>
    <t>CUST029</t>
  </si>
  <si>
    <t>ORD030</t>
  </si>
  <si>
    <t>CUST030</t>
  </si>
  <si>
    <t>ORD031</t>
  </si>
  <si>
    <t>CUST031</t>
  </si>
  <si>
    <t>ORD032</t>
  </si>
  <si>
    <t>CUST032</t>
  </si>
  <si>
    <t>ORD033</t>
  </si>
  <si>
    <t>CUST033</t>
  </si>
  <si>
    <t>ORD034</t>
  </si>
  <si>
    <t>CUST034</t>
  </si>
  <si>
    <t>ORD035</t>
  </si>
  <si>
    <t>CUST035</t>
  </si>
  <si>
    <t>ORD036</t>
  </si>
  <si>
    <t>CUST036</t>
  </si>
  <si>
    <t>ORD037</t>
  </si>
  <si>
    <t>CUST037</t>
  </si>
  <si>
    <t>ORD038</t>
  </si>
  <si>
    <t>CUST038</t>
  </si>
  <si>
    <t>ORD039</t>
  </si>
  <si>
    <t>CUST039</t>
  </si>
  <si>
    <t>ORD040</t>
  </si>
  <si>
    <t>CUST040</t>
  </si>
  <si>
    <t>ORD041</t>
  </si>
  <si>
    <t>CUST041</t>
  </si>
  <si>
    <t>ORD042</t>
  </si>
  <si>
    <t>CUST042</t>
  </si>
  <si>
    <t>ORD043</t>
  </si>
  <si>
    <t>CUST043</t>
  </si>
  <si>
    <t>ORD044</t>
  </si>
  <si>
    <t>CUST044</t>
  </si>
  <si>
    <t>ORD045</t>
  </si>
  <si>
    <t>CUST045</t>
  </si>
  <si>
    <t>ORD046</t>
  </si>
  <si>
    <t>CUST046</t>
  </si>
  <si>
    <t>ORD047</t>
  </si>
  <si>
    <t>CUST047</t>
  </si>
  <si>
    <t>ORD048</t>
  </si>
  <si>
    <t>CUST048</t>
  </si>
  <si>
    <t>ORD049</t>
  </si>
  <si>
    <t>CUST049</t>
  </si>
  <si>
    <t>ORD050</t>
  </si>
  <si>
    <t>CUST050</t>
  </si>
  <si>
    <t>ORD051</t>
  </si>
  <si>
    <t>CUST051</t>
  </si>
  <si>
    <t>ORD052</t>
  </si>
  <si>
    <t>CUST052</t>
  </si>
  <si>
    <t>ORD053</t>
  </si>
  <si>
    <t>CUST053</t>
  </si>
  <si>
    <t>ORD054</t>
  </si>
  <si>
    <t>CUST054</t>
  </si>
  <si>
    <t>ORD055</t>
  </si>
  <si>
    <t>CUST055</t>
  </si>
  <si>
    <t>ORD056</t>
  </si>
  <si>
    <t>CUST056</t>
  </si>
  <si>
    <t>ORD057</t>
  </si>
  <si>
    <t>CUST057</t>
  </si>
  <si>
    <t>ORD058</t>
  </si>
  <si>
    <t>CUST058</t>
  </si>
  <si>
    <t>ORD059</t>
  </si>
  <si>
    <t>CUST059</t>
  </si>
  <si>
    <t>ORD060</t>
  </si>
  <si>
    <t>CUST060</t>
  </si>
  <si>
    <t>ORD061</t>
  </si>
  <si>
    <t>CUST061</t>
  </si>
  <si>
    <t>ORD062</t>
  </si>
  <si>
    <t>CUST062</t>
  </si>
  <si>
    <t>ORD063</t>
  </si>
  <si>
    <t>CUST063</t>
  </si>
  <si>
    <t>ORD064</t>
  </si>
  <si>
    <t>CUST064</t>
  </si>
  <si>
    <t>ORD065</t>
  </si>
  <si>
    <t>CUST065</t>
  </si>
  <si>
    <t>ORD066</t>
  </si>
  <si>
    <t>CUST066</t>
  </si>
  <si>
    <t>ORD067</t>
  </si>
  <si>
    <t>CUST067</t>
  </si>
  <si>
    <t>ORD068</t>
  </si>
  <si>
    <t>CUST068</t>
  </si>
  <si>
    <t>ORD069</t>
  </si>
  <si>
    <t>CUST069</t>
  </si>
  <si>
    <t>ORD070</t>
  </si>
  <si>
    <t>CUST070</t>
  </si>
  <si>
    <t>ORD071</t>
  </si>
  <si>
    <t>CUST071</t>
  </si>
  <si>
    <t>ORD072</t>
  </si>
  <si>
    <t>CUST072</t>
  </si>
  <si>
    <t>ORD073</t>
  </si>
  <si>
    <t>CUST073</t>
  </si>
  <si>
    <t>ORD074</t>
  </si>
  <si>
    <t>CUST074</t>
  </si>
  <si>
    <t>ORD075</t>
  </si>
  <si>
    <t>CUST075</t>
  </si>
  <si>
    <t>ORD076</t>
  </si>
  <si>
    <t>CUST076</t>
  </si>
  <si>
    <t>ORD077</t>
  </si>
  <si>
    <t>CUST077</t>
  </si>
  <si>
    <t>ORD078</t>
  </si>
  <si>
    <t>CUST078</t>
  </si>
  <si>
    <t>ORD079</t>
  </si>
  <si>
    <t>CUST079</t>
  </si>
  <si>
    <t>ORD080</t>
  </si>
  <si>
    <t>CUST080</t>
  </si>
  <si>
    <t>ORD081</t>
  </si>
  <si>
    <t>CUST081</t>
  </si>
  <si>
    <t>ORD082</t>
  </si>
  <si>
    <t>CUST082</t>
  </si>
  <si>
    <t>ORD083</t>
  </si>
  <si>
    <t>CUST083</t>
  </si>
  <si>
    <t>ORD084</t>
  </si>
  <si>
    <t>CUST084</t>
  </si>
  <si>
    <t>ORD085</t>
  </si>
  <si>
    <t>CUST085</t>
  </si>
  <si>
    <t>ORD086</t>
  </si>
  <si>
    <t>CUST086</t>
  </si>
  <si>
    <t>ORD087</t>
  </si>
  <si>
    <t>CUST087</t>
  </si>
  <si>
    <t>ORD088</t>
  </si>
  <si>
    <t>CUST088</t>
  </si>
  <si>
    <t>ORD089</t>
  </si>
  <si>
    <t>CUST089</t>
  </si>
  <si>
    <t>ORD090</t>
  </si>
  <si>
    <t>CUST090</t>
  </si>
  <si>
    <t>ORD091</t>
  </si>
  <si>
    <t>CUST091</t>
  </si>
  <si>
    <t>ORD092</t>
  </si>
  <si>
    <t>CUST092</t>
  </si>
  <si>
    <t>ORD093</t>
  </si>
  <si>
    <t>CUST093</t>
  </si>
  <si>
    <t>ORD094</t>
  </si>
  <si>
    <t>CUST094</t>
  </si>
  <si>
    <t>ORD095</t>
  </si>
  <si>
    <t>CUST095</t>
  </si>
  <si>
    <t>ORD096</t>
  </si>
  <si>
    <t>CUST096</t>
  </si>
  <si>
    <t>ORD097</t>
  </si>
  <si>
    <t>CUST097</t>
  </si>
  <si>
    <t>ORD098</t>
  </si>
  <si>
    <t>CUST098</t>
  </si>
  <si>
    <t>ORD099</t>
  </si>
  <si>
    <t>CUST099</t>
  </si>
  <si>
    <t>ORD100</t>
  </si>
  <si>
    <t>CUST100</t>
  </si>
  <si>
    <t>ORD101</t>
  </si>
  <si>
    <t>CUST101</t>
  </si>
  <si>
    <t>ORD102</t>
  </si>
  <si>
    <t>CUST102</t>
  </si>
  <si>
    <t>ORD103</t>
  </si>
  <si>
    <t>CUST103</t>
  </si>
  <si>
    <t>ORD104</t>
  </si>
  <si>
    <t>CUST104</t>
  </si>
  <si>
    <t>ORD105</t>
  </si>
  <si>
    <t>CUST105</t>
  </si>
  <si>
    <t>ORD106</t>
  </si>
  <si>
    <t>CUST106</t>
  </si>
  <si>
    <t>ORD107</t>
  </si>
  <si>
    <t>CUST107</t>
  </si>
  <si>
    <t>ORD108</t>
  </si>
  <si>
    <t>CUST108</t>
  </si>
  <si>
    <t>ORD109</t>
  </si>
  <si>
    <t>CUST109</t>
  </si>
  <si>
    <t>ORD110</t>
  </si>
  <si>
    <t>CUST110</t>
  </si>
  <si>
    <t>ORD111</t>
  </si>
  <si>
    <t>CUST111</t>
  </si>
  <si>
    <t>ORD112</t>
  </si>
  <si>
    <t>CUST112</t>
  </si>
  <si>
    <t>ORD113</t>
  </si>
  <si>
    <t>CUST113</t>
  </si>
  <si>
    <t>ORD114</t>
  </si>
  <si>
    <t>CUST114</t>
  </si>
  <si>
    <t>ORD115</t>
  </si>
  <si>
    <t>CUST115</t>
  </si>
  <si>
    <t>ORD116</t>
  </si>
  <si>
    <t>CUST116</t>
  </si>
  <si>
    <t>ORD117</t>
  </si>
  <si>
    <t>CUST117</t>
  </si>
  <si>
    <t>ORD118</t>
  </si>
  <si>
    <t>CUST118</t>
  </si>
  <si>
    <t>ORD119</t>
  </si>
  <si>
    <t>CUST119</t>
  </si>
  <si>
    <t>ORD120</t>
  </si>
  <si>
    <t>CUST120</t>
  </si>
  <si>
    <t>ORD121</t>
  </si>
  <si>
    <t>CUST121</t>
  </si>
  <si>
    <t>ORD122</t>
  </si>
  <si>
    <t>CUST122</t>
  </si>
  <si>
    <t>ORD123</t>
  </si>
  <si>
    <t>CUST123</t>
  </si>
  <si>
    <t>ORD124</t>
  </si>
  <si>
    <t>CUST124</t>
  </si>
  <si>
    <t>ORD125</t>
  </si>
  <si>
    <t>CUST125</t>
  </si>
  <si>
    <t>ORD126</t>
  </si>
  <si>
    <t>CUST126</t>
  </si>
  <si>
    <t>ORD127</t>
  </si>
  <si>
    <t>CUST127</t>
  </si>
  <si>
    <t>ORD128</t>
  </si>
  <si>
    <t>CUST128</t>
  </si>
  <si>
    <t>ORD129</t>
  </si>
  <si>
    <t>CUST129</t>
  </si>
  <si>
    <t>ORD130</t>
  </si>
  <si>
    <t>CUST130</t>
  </si>
  <si>
    <t>ORD131</t>
  </si>
  <si>
    <t>CUST131</t>
  </si>
  <si>
    <t>ORD132</t>
  </si>
  <si>
    <t>CUST132</t>
  </si>
  <si>
    <t>ORD133</t>
  </si>
  <si>
    <t>CUST133</t>
  </si>
  <si>
    <t>ORD134</t>
  </si>
  <si>
    <t>CUST134</t>
  </si>
  <si>
    <t>ORD135</t>
  </si>
  <si>
    <t>CUST135</t>
  </si>
  <si>
    <t>ORD136</t>
  </si>
  <si>
    <t>CUST136</t>
  </si>
  <si>
    <t>ORD137</t>
  </si>
  <si>
    <t>CUST137</t>
  </si>
  <si>
    <t>ORD138</t>
  </si>
  <si>
    <t>CUST138</t>
  </si>
  <si>
    <t>ORD139</t>
  </si>
  <si>
    <t>CUST139</t>
  </si>
  <si>
    <t>ORD140</t>
  </si>
  <si>
    <t>CUST140</t>
  </si>
  <si>
    <t>ORD141</t>
  </si>
  <si>
    <t>CUST141</t>
  </si>
  <si>
    <t>ORD142</t>
  </si>
  <si>
    <t>CUST142</t>
  </si>
  <si>
    <t>ORD143</t>
  </si>
  <si>
    <t>CUST143</t>
  </si>
  <si>
    <t>ORD144</t>
  </si>
  <si>
    <t>CUST144</t>
  </si>
  <si>
    <t>ORD145</t>
  </si>
  <si>
    <t>CUST145</t>
  </si>
  <si>
    <t>ORD146</t>
  </si>
  <si>
    <t>CUST146</t>
  </si>
  <si>
    <t>ORD147</t>
  </si>
  <si>
    <t>CUST147</t>
  </si>
  <si>
    <t>ORD148</t>
  </si>
  <si>
    <t>CUST148</t>
  </si>
  <si>
    <t>ORD149</t>
  </si>
  <si>
    <t>CUST149</t>
  </si>
  <si>
    <t>ORD150</t>
  </si>
  <si>
    <t>CUST150</t>
  </si>
  <si>
    <t>ORD151</t>
  </si>
  <si>
    <t>CUST151</t>
  </si>
  <si>
    <t>ORD152</t>
  </si>
  <si>
    <t>CUST152</t>
  </si>
  <si>
    <t>ORD153</t>
  </si>
  <si>
    <t>CUST153</t>
  </si>
  <si>
    <t>ORD154</t>
  </si>
  <si>
    <t>CUST154</t>
  </si>
  <si>
    <t>ORD155</t>
  </si>
  <si>
    <t>CUST155</t>
  </si>
  <si>
    <t>ORD156</t>
  </si>
  <si>
    <t>CUST156</t>
  </si>
  <si>
    <t>ORD157</t>
  </si>
  <si>
    <t>CUST157</t>
  </si>
  <si>
    <t>ORD158</t>
  </si>
  <si>
    <t>CUST158</t>
  </si>
  <si>
    <t>ORD159</t>
  </si>
  <si>
    <t>CUST159</t>
  </si>
  <si>
    <t>ORD160</t>
  </si>
  <si>
    <t>CUST160</t>
  </si>
  <si>
    <t>ORD161</t>
  </si>
  <si>
    <t>CUST161</t>
  </si>
  <si>
    <t>ORD162</t>
  </si>
  <si>
    <t>CUST162</t>
  </si>
  <si>
    <t>ORD163</t>
  </si>
  <si>
    <t>CUST163</t>
  </si>
  <si>
    <t>ORD164</t>
  </si>
  <si>
    <t>CUST164</t>
  </si>
  <si>
    <t>ORD165</t>
  </si>
  <si>
    <t>CUST165</t>
  </si>
  <si>
    <t>ORD166</t>
  </si>
  <si>
    <t>CUST166</t>
  </si>
  <si>
    <t>ORD167</t>
  </si>
  <si>
    <t>CUST167</t>
  </si>
  <si>
    <t>ORD168</t>
  </si>
  <si>
    <t>CUST168</t>
  </si>
  <si>
    <t>ORD169</t>
  </si>
  <si>
    <t>CUST169</t>
  </si>
  <si>
    <t>ORD170</t>
  </si>
  <si>
    <t>CUST170</t>
  </si>
  <si>
    <t>ORD171</t>
  </si>
  <si>
    <t>CUST171</t>
  </si>
  <si>
    <t>ORD172</t>
  </si>
  <si>
    <t>CUST172</t>
  </si>
  <si>
    <t>ORD173</t>
  </si>
  <si>
    <t>CUST173</t>
  </si>
  <si>
    <t>ORD174</t>
  </si>
  <si>
    <t>CUST174</t>
  </si>
  <si>
    <t>ORD175</t>
  </si>
  <si>
    <t>CUST175</t>
  </si>
  <si>
    <t>ORD176</t>
  </si>
  <si>
    <t>CUST176</t>
  </si>
  <si>
    <t>ORD177</t>
  </si>
  <si>
    <t>CUST177</t>
  </si>
  <si>
    <t>ORD178</t>
  </si>
  <si>
    <t>CUST178</t>
  </si>
  <si>
    <t>ORD179</t>
  </si>
  <si>
    <t>CUST179</t>
  </si>
  <si>
    <t>ORD180</t>
  </si>
  <si>
    <t>CUST180</t>
  </si>
  <si>
    <t>ORD181</t>
  </si>
  <si>
    <t>CUST181</t>
  </si>
  <si>
    <t>ORD182</t>
  </si>
  <si>
    <t>CUST182</t>
  </si>
  <si>
    <t>ORD183</t>
  </si>
  <si>
    <t>CUST183</t>
  </si>
  <si>
    <t>ORD184</t>
  </si>
  <si>
    <t>CUST184</t>
  </si>
  <si>
    <t>ORD185</t>
  </si>
  <si>
    <t>CUST185</t>
  </si>
  <si>
    <t>ORD186</t>
  </si>
  <si>
    <t>CUST186</t>
  </si>
  <si>
    <t>ORD187</t>
  </si>
  <si>
    <t>CUST187</t>
  </si>
  <si>
    <t>ORD188</t>
  </si>
  <si>
    <t>CUST188</t>
  </si>
  <si>
    <t>ORD189</t>
  </si>
  <si>
    <t>CUST189</t>
  </si>
  <si>
    <t>ORD190</t>
  </si>
  <si>
    <t>CUST190</t>
  </si>
  <si>
    <t>ORD191</t>
  </si>
  <si>
    <t>CUST191</t>
  </si>
  <si>
    <t>ORD192</t>
  </si>
  <si>
    <t>CUST192</t>
  </si>
  <si>
    <t>ORD193</t>
  </si>
  <si>
    <t>CUST193</t>
  </si>
  <si>
    <t>ORD194</t>
  </si>
  <si>
    <t>CUST194</t>
  </si>
  <si>
    <t>ORD195</t>
  </si>
  <si>
    <t>CUST195</t>
  </si>
  <si>
    <t>ORD196</t>
  </si>
  <si>
    <t>CUST196</t>
  </si>
  <si>
    <t>ORD197</t>
  </si>
  <si>
    <t>CUST197</t>
  </si>
  <si>
    <t>ORD198</t>
  </si>
  <si>
    <t>CUST198</t>
  </si>
  <si>
    <t>ORD199</t>
  </si>
  <si>
    <t>CUST199</t>
  </si>
  <si>
    <t>ORD200</t>
  </si>
  <si>
    <t>CUST200</t>
  </si>
  <si>
    <t>ORD201</t>
  </si>
  <si>
    <t>CUST201</t>
  </si>
  <si>
    <t>ORD202</t>
  </si>
  <si>
    <t>CUST202</t>
  </si>
  <si>
    <t>ORD203</t>
  </si>
  <si>
    <t>CUST203</t>
  </si>
  <si>
    <t>ORD204</t>
  </si>
  <si>
    <t>CUST204</t>
  </si>
  <si>
    <t>ORD205</t>
  </si>
  <si>
    <t>CUST205</t>
  </si>
  <si>
    <t>ORD206</t>
  </si>
  <si>
    <t>CUST206</t>
  </si>
  <si>
    <t>ORD207</t>
  </si>
  <si>
    <t>CUST207</t>
  </si>
  <si>
    <t>ORD208</t>
  </si>
  <si>
    <t>CUST208</t>
  </si>
  <si>
    <t>ORD209</t>
  </si>
  <si>
    <t>CUST209</t>
  </si>
  <si>
    <t>ORD210</t>
  </si>
  <si>
    <t>CUST210</t>
  </si>
  <si>
    <t>ORD211</t>
  </si>
  <si>
    <t>CUST211</t>
  </si>
  <si>
    <t>ORD212</t>
  </si>
  <si>
    <t>CUST212</t>
  </si>
  <si>
    <t>ORD213</t>
  </si>
  <si>
    <t>CUST213</t>
  </si>
  <si>
    <t>ORD214</t>
  </si>
  <si>
    <t>CUST214</t>
  </si>
  <si>
    <t>ORD215</t>
  </si>
  <si>
    <t>CUST215</t>
  </si>
  <si>
    <t>ORD216</t>
  </si>
  <si>
    <t>CUST216</t>
  </si>
  <si>
    <t>ORD217</t>
  </si>
  <si>
    <t>CUST217</t>
  </si>
  <si>
    <t>ORD218</t>
  </si>
  <si>
    <t>CUST218</t>
  </si>
  <si>
    <t>ORD219</t>
  </si>
  <si>
    <t>CUST219</t>
  </si>
  <si>
    <t>ORD220</t>
  </si>
  <si>
    <t>CUST220</t>
  </si>
  <si>
    <t>ORD221</t>
  </si>
  <si>
    <t>CUST221</t>
  </si>
  <si>
    <t>ORD222</t>
  </si>
  <si>
    <t>CUST222</t>
  </si>
  <si>
    <t>ORD223</t>
  </si>
  <si>
    <t>CUST223</t>
  </si>
  <si>
    <t>ORD224</t>
  </si>
  <si>
    <t>CUST224</t>
  </si>
  <si>
    <t>ORD225</t>
  </si>
  <si>
    <t>CUST225</t>
  </si>
  <si>
    <t>ORD226</t>
  </si>
  <si>
    <t>CUST226</t>
  </si>
  <si>
    <t>ORD227</t>
  </si>
  <si>
    <t>CUST227</t>
  </si>
  <si>
    <t>ORD228</t>
  </si>
  <si>
    <t>CUST228</t>
  </si>
  <si>
    <t>ORD229</t>
  </si>
  <si>
    <t>CUST229</t>
  </si>
  <si>
    <t>NORTH</t>
  </si>
  <si>
    <t xml:space="preserve">Per region </t>
  </si>
  <si>
    <t>west</t>
  </si>
  <si>
    <t>south</t>
  </si>
  <si>
    <t>EAST</t>
  </si>
  <si>
    <t>per product</t>
  </si>
  <si>
    <t>furniture</t>
  </si>
  <si>
    <t>clothing</t>
  </si>
  <si>
    <t>food</t>
  </si>
  <si>
    <t>Top constumer by quanity</t>
  </si>
  <si>
    <t>sarah</t>
  </si>
  <si>
    <t>linda</t>
  </si>
  <si>
    <t>grace</t>
  </si>
  <si>
    <t>daniel</t>
  </si>
  <si>
    <t>Orders placed in each region</t>
  </si>
  <si>
    <t>east</t>
  </si>
  <si>
    <t>Average unit ppp</t>
  </si>
  <si>
    <t>electronics</t>
  </si>
  <si>
    <t>clothings</t>
  </si>
  <si>
    <t>products sells in each region</t>
  </si>
  <si>
    <t>east;clothing</t>
  </si>
  <si>
    <t>north;electronics</t>
  </si>
  <si>
    <t>south;furniture</t>
  </si>
  <si>
    <t>west;food</t>
  </si>
  <si>
    <t>highes sells west;food</t>
  </si>
  <si>
    <t>Grand Total</t>
  </si>
  <si>
    <t>1. North region generated ₦50,330, making it the highest revenue region.</t>
  </si>
  <si>
    <t>2. Electronics contributed 26.48% of total revenue, showing revenue concentration in that category.</t>
  </si>
  <si>
    <t>3. Sarah purchased 136 units, making her the top customer by volume.</t>
  </si>
  <si>
    <t>4. Furniture has the highest average unit price at ₦469.21 per unit, positioning it as a premium product.</t>
  </si>
  <si>
    <t>5. West region recorded the highest quantity sold (271 units) but generated lower revenue (₦45,500) compared to North, suggesting lower pricing structure.</t>
  </si>
  <si>
    <t>BUSINESS INSIGHT</t>
  </si>
  <si>
    <t>revenue</t>
  </si>
  <si>
    <t>TOTAL QUANTITY SOLD PER REGION</t>
  </si>
  <si>
    <t>Sum of revenue</t>
  </si>
  <si>
    <t>Column Labels</t>
  </si>
  <si>
    <t>TOTAL REVENUE PER PRODUCT</t>
  </si>
  <si>
    <t>REGION</t>
  </si>
  <si>
    <t>TOTAL QUANTITY</t>
  </si>
  <si>
    <t>GRAND TOTAL</t>
  </si>
  <si>
    <t>PRODUCT</t>
  </si>
  <si>
    <t>TOTAL REVENUE</t>
  </si>
  <si>
    <t xml:space="preserve">CONSTUMER NAME </t>
  </si>
  <si>
    <t>COUNT ORDER ID</t>
  </si>
  <si>
    <t>TOTAL UNIT PRICE</t>
  </si>
  <si>
    <t xml:space="preserve">TOP PRODUCT BY REGION  </t>
  </si>
  <si>
    <t>PERCENTAGE</t>
  </si>
  <si>
    <t>Average of Unit_Price</t>
  </si>
  <si>
    <t>`</t>
  </si>
  <si>
    <t>Customer_name</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</si>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</sst>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quot;$&quot;#,##0.00"/>
  </numFmts>
  <fonts count="5" x14ac:knownFonts="1">
    <font>
      <sz val="11"/>
      <color theme="1"/>
      <name val="Calibri"/>
      <family val="2"/>
      <scheme val="minor"/>
    </font>
    <font>
      <sz val="11"/>
      <color theme="1"/>
      <name val="Calibri"/>
      <family val="2"/>
      <scheme val="minor"/>
    </font>
    <font>
      <b/>
      <sz val="14"/>
      <color theme="1"/>
      <name val="Calibri"/>
      <family val="2"/>
      <scheme val="minor"/>
    </font>
    <font>
      <b/>
      <sz val="20"/>
      <color theme="1"/>
      <name val="Calibri"/>
      <family val="2"/>
      <scheme val="minor"/>
    </font>
    <font>
      <b/>
      <sz val="12"/>
      <color rgb="FFFF0000"/>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5" tint="-0.249977111117893"/>
        <bgColor indexed="64"/>
      </patternFill>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44" fontId="0" fillId="0" borderId="0" xfId="1" applyFont="1"/>
    <xf numFmtId="44" fontId="0" fillId="0" borderId="0" xfId="0" applyNumberFormat="1"/>
    <xf numFmtId="44" fontId="0" fillId="2" borderId="0" xfId="1" applyFont="1" applyFill="1"/>
    <xf numFmtId="0" fontId="0" fillId="3" borderId="0" xfId="0" applyFill="1"/>
    <xf numFmtId="0" fontId="2" fillId="0" borderId="0" xfId="0" applyFont="1"/>
    <xf numFmtId="0" fontId="0" fillId="0" borderId="0" xfId="0" applyAlignment="1">
      <alignment horizontal="left" vertical="center" indent="1"/>
    </xf>
    <xf numFmtId="0" fontId="0" fillId="4" borderId="0" xfId="0" applyFill="1"/>
    <xf numFmtId="165" fontId="0" fillId="0" borderId="0" xfId="0" applyNumberFormat="1"/>
    <xf numFmtId="9" fontId="0" fillId="0" borderId="0" xfId="0" applyNumberFormat="1"/>
    <xf numFmtId="0" fontId="3" fillId="0" borderId="0" xfId="0" applyFont="1"/>
    <xf numFmtId="44" fontId="3" fillId="0" borderId="0" xfId="0" applyNumberFormat="1" applyFont="1"/>
    <xf numFmtId="0" fontId="4" fillId="0" borderId="0" xfId="0" applyFont="1" applyAlignment="1">
      <alignment horizontal="center"/>
    </xf>
  </cellXfs>
  <cellStyles count="2">
    <cellStyle name="Currency" xfId="1" builtinId="4"/>
    <cellStyle name="Normal" xfId="0" builtinId="0"/>
  </cellStyles>
  <dxfs count="12">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3" formatCode="0%"/>
    </dxf>
    <dxf>
      <numFmt numFmtId="13" formatCode="0%"/>
    </dxf>
    <dxf>
      <numFmt numFmtId="165" formatCode="&quot;$&quot;#,##0.00"/>
    </dxf>
    <dxf>
      <numFmt numFmtId="165" formatCode="&quot;$&quot;#,##0.00"/>
    </dxf>
    <dxf>
      <numFmt numFmtId="166" formatCode="0.0000%"/>
    </dxf>
    <dxf>
      <numFmt numFmtId="34" formatCode="_(&quot;$&quot;* #,##0.00_);_(&quot;$&quot;* \(#,##0.00\);_(&quot;$&quot;* &quot;-&quot;??_);_(@_)"/>
    </dxf>
    <dxf>
      <font>
        <b val="0"/>
        <i val="0"/>
        <strike val="0"/>
        <condense val="0"/>
        <extend val="0"/>
        <outline val="0"/>
        <shadow val="0"/>
        <u val="none"/>
        <vertAlign val="baseline"/>
        <sz val="11"/>
        <color theme="1"/>
        <name val="Calibri"/>
        <family val="2"/>
        <scheme val="minor"/>
      </font>
    </dxf>
    <dxf>
      <fill>
        <patternFill patternType="solid">
          <fgColor indexed="64"/>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1.xlsx]pivot_table!PivotTable4</c:name>
    <c:fmtId val="3"/>
  </c:pivotSource>
  <c:chart>
    <c:title>
      <c:tx>
        <c:rich>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r>
              <a:rPr lang="en-US" sz="1200" b="1">
                <a:solidFill>
                  <a:srgbClr val="FF0000"/>
                </a:solidFill>
              </a:rPr>
              <a:t>  QUANTITY PER REGION</a:t>
            </a:r>
          </a:p>
        </c:rich>
      </c:tx>
      <c:layout>
        <c:manualLayout>
          <c:xMode val="edge"/>
          <c:yMode val="edge"/>
          <c:x val="0.39892205987620533"/>
          <c:y val="4.5243103353339573E-2"/>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c:f>
              <c:strCache>
                <c:ptCount val="1"/>
                <c:pt idx="0">
                  <c:v>Total</c:v>
                </c:pt>
              </c:strCache>
            </c:strRef>
          </c:tx>
          <c:spPr>
            <a:solidFill>
              <a:srgbClr val="FF0000"/>
            </a:solidFill>
            <a:ln>
              <a:noFill/>
            </a:ln>
            <a:effectLst/>
          </c:spPr>
          <c:invertIfNegative val="0"/>
          <c:cat>
            <c:strRef>
              <c:f>pivot_table!$A$3:$A$7</c:f>
              <c:strCache>
                <c:ptCount val="4"/>
                <c:pt idx="0">
                  <c:v>East</c:v>
                </c:pt>
                <c:pt idx="1">
                  <c:v>North</c:v>
                </c:pt>
                <c:pt idx="2">
                  <c:v>South</c:v>
                </c:pt>
                <c:pt idx="3">
                  <c:v>West</c:v>
                </c:pt>
              </c:strCache>
            </c:strRef>
          </c:cat>
          <c:val>
            <c:numRef>
              <c:f>pivot_table!$B$3:$B$7</c:f>
              <c:numCache>
                <c:formatCode>General</c:formatCode>
                <c:ptCount val="4"/>
                <c:pt idx="0">
                  <c:v>174</c:v>
                </c:pt>
                <c:pt idx="1">
                  <c:v>171</c:v>
                </c:pt>
                <c:pt idx="2">
                  <c:v>256</c:v>
                </c:pt>
                <c:pt idx="3">
                  <c:v>271</c:v>
                </c:pt>
              </c:numCache>
            </c:numRef>
          </c:val>
          <c:extLst>
            <c:ext xmlns:c16="http://schemas.microsoft.com/office/drawing/2014/chart" uri="{C3380CC4-5D6E-409C-BE32-E72D297353CC}">
              <c16:uniqueId val="{00000000-9CBE-490F-97A4-58430FD9F7B2}"/>
            </c:ext>
          </c:extLst>
        </c:ser>
        <c:dLbls>
          <c:showLegendKey val="0"/>
          <c:showVal val="0"/>
          <c:showCatName val="0"/>
          <c:showSerName val="0"/>
          <c:showPercent val="0"/>
          <c:showBubbleSize val="0"/>
        </c:dLbls>
        <c:gapWidth val="219"/>
        <c:overlap val="-27"/>
        <c:axId val="733744720"/>
        <c:axId val="733742224"/>
      </c:barChart>
      <c:catAx>
        <c:axId val="73374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42224"/>
        <c:crosses val="autoZero"/>
        <c:auto val="1"/>
        <c:lblAlgn val="ctr"/>
        <c:lblOffset val="100"/>
        <c:noMultiLvlLbl val="0"/>
      </c:catAx>
      <c:valAx>
        <c:axId val="73374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447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1.xlsx]pivot_table!PivotTable5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REVENUE PER PRODUCT</a:t>
            </a:r>
          </a:p>
        </c:rich>
      </c:tx>
      <c:layout>
        <c:manualLayout>
          <c:xMode val="edge"/>
          <c:yMode val="edge"/>
          <c:x val="0.35420986045809022"/>
          <c:y val="6.6088836236017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layout>
            <c:manualLayout>
              <c:x val="-6.0273398580058292E-2"/>
              <c:y val="-6.2350096357523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rgbClr val="FF0000"/>
            </a:solidFill>
            <a:ln w="9525">
              <a:solidFill>
                <a:schemeClr val="accent1"/>
              </a:solidFill>
            </a:ln>
            <a:effectLst/>
          </c:spPr>
        </c:marker>
        <c:dLbl>
          <c:idx val="0"/>
          <c:layout>
            <c:manualLayout>
              <c:x val="-8.6811393695093969E-2"/>
              <c:y val="4.3165451324439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layout>
            <c:manualLayout>
              <c:x val="-9.2595920086995659E-2"/>
              <c:y val="4.31654513244390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layout>
            <c:manualLayout>
              <c:x val="-8.6811393695094025E-2"/>
              <c:y val="-6.714625761579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pivot_table!$F$2</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6484-4770-971A-033870AB5E46}"/>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6484-4770-971A-033870AB5E46}"/>
              </c:ext>
            </c:extLst>
          </c:dPt>
          <c:dPt>
            <c:idx val="2"/>
            <c:marker>
              <c:symbol val="circle"/>
              <c:size val="5"/>
              <c:spPr>
                <a:solidFill>
                  <a:srgbClr val="FF000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2-6484-4770-971A-033870AB5E46}"/>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6484-4770-971A-033870AB5E46}"/>
              </c:ext>
            </c:extLst>
          </c:dPt>
          <c:dLbls>
            <c:dLbl>
              <c:idx val="0"/>
              <c:layout>
                <c:manualLayout>
                  <c:x val="-9.2595920086995659E-2"/>
                  <c:y val="4.3165451324439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84-4770-971A-033870AB5E46}"/>
                </c:ext>
              </c:extLst>
            </c:dLbl>
            <c:dLbl>
              <c:idx val="1"/>
              <c:layout>
                <c:manualLayout>
                  <c:x val="-8.6811393695094025E-2"/>
                  <c:y val="-6.7146257615794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84-4770-971A-033870AB5E46}"/>
                </c:ext>
              </c:extLst>
            </c:dLbl>
            <c:dLbl>
              <c:idx val="2"/>
              <c:layout>
                <c:manualLayout>
                  <c:x val="-8.6811393695093969E-2"/>
                  <c:y val="4.3165451324439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84-4770-971A-033870AB5E46}"/>
                </c:ext>
              </c:extLst>
            </c:dLbl>
            <c:dLbl>
              <c:idx val="3"/>
              <c:layout>
                <c:manualLayout>
                  <c:x val="-6.0273398580058292E-2"/>
                  <c:y val="-6.23500963575232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84-4770-971A-033870AB5E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pivot_table!$E$3:$E$7</c:f>
              <c:strCache>
                <c:ptCount val="4"/>
                <c:pt idx="0">
                  <c:v>Clothing</c:v>
                </c:pt>
                <c:pt idx="1">
                  <c:v>Electronics</c:v>
                </c:pt>
                <c:pt idx="2">
                  <c:v>Food</c:v>
                </c:pt>
                <c:pt idx="3">
                  <c:v>Furniture</c:v>
                </c:pt>
              </c:strCache>
            </c:strRef>
          </c:cat>
          <c:val>
            <c:numRef>
              <c:f>pivot_table!$F$3:$F$7</c:f>
              <c:numCache>
                <c:formatCode>_("$"* #,##0.00_);_("$"* \(#,##0.00\);_("$"* "-"??_);_(@_)</c:formatCode>
                <c:ptCount val="4"/>
                <c:pt idx="0">
                  <c:v>46960</c:v>
                </c:pt>
                <c:pt idx="1">
                  <c:v>50330</c:v>
                </c:pt>
                <c:pt idx="2">
                  <c:v>45500</c:v>
                </c:pt>
                <c:pt idx="3">
                  <c:v>47300</c:v>
                </c:pt>
              </c:numCache>
            </c:numRef>
          </c:val>
          <c:smooth val="0"/>
          <c:extLst>
            <c:ext xmlns:c16="http://schemas.microsoft.com/office/drawing/2014/chart" uri="{C3380CC4-5D6E-409C-BE32-E72D297353CC}">
              <c16:uniqueId val="{00000000-9AA4-47C0-B96A-1E4E271D91E7}"/>
            </c:ext>
          </c:extLst>
        </c:ser>
        <c:dLbls>
          <c:dLblPos val="ctr"/>
          <c:showLegendKey val="0"/>
          <c:showVal val="1"/>
          <c:showCatName val="0"/>
          <c:showSerName val="0"/>
          <c:showPercent val="0"/>
          <c:showBubbleSize val="0"/>
        </c:dLbls>
        <c:marker val="1"/>
        <c:smooth val="0"/>
        <c:axId val="1286058864"/>
        <c:axId val="1286050128"/>
      </c:lineChart>
      <c:catAx>
        <c:axId val="128605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0128"/>
        <c:crosses val="autoZero"/>
        <c:auto val="1"/>
        <c:lblAlgn val="ctr"/>
        <c:lblOffset val="100"/>
        <c:noMultiLvlLbl val="0"/>
      </c:catAx>
      <c:valAx>
        <c:axId val="128605012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1.xlsx]pivot_table!PivotTable6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revenue per region</a:t>
            </a:r>
          </a:p>
        </c:rich>
      </c:tx>
      <c:layout>
        <c:manualLayout>
          <c:xMode val="edge"/>
          <c:yMode val="edge"/>
          <c:x val="0.3336408592702735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2932451151939337"/>
          <c:w val="0.71893525809273839"/>
          <c:h val="0.5151279527559055"/>
        </c:manualLayout>
      </c:layout>
      <c:areaChart>
        <c:grouping val="standard"/>
        <c:varyColors val="0"/>
        <c:ser>
          <c:idx val="0"/>
          <c:order val="0"/>
          <c:tx>
            <c:strRef>
              <c:f>pivot_table!$I$2</c:f>
              <c:strCache>
                <c:ptCount val="1"/>
                <c:pt idx="0">
                  <c:v>Total</c:v>
                </c:pt>
              </c:strCache>
            </c:strRef>
          </c:tx>
          <c:spPr>
            <a:solidFill>
              <a:srgbClr val="FF0000"/>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pivot_table!$H$3:$H$7</c:f>
              <c:strCache>
                <c:ptCount val="4"/>
                <c:pt idx="0">
                  <c:v>East</c:v>
                </c:pt>
                <c:pt idx="1">
                  <c:v>North</c:v>
                </c:pt>
                <c:pt idx="2">
                  <c:v>South</c:v>
                </c:pt>
                <c:pt idx="3">
                  <c:v>West</c:v>
                </c:pt>
              </c:strCache>
            </c:strRef>
          </c:cat>
          <c:val>
            <c:numRef>
              <c:f>pivot_table!$I$3:$I$7</c:f>
              <c:numCache>
                <c:formatCode>_("$"* #,##0.00_);_("$"* \(#,##0.00\);_("$"* "-"??_);_(@_)</c:formatCode>
                <c:ptCount val="4"/>
                <c:pt idx="0">
                  <c:v>46960</c:v>
                </c:pt>
                <c:pt idx="1">
                  <c:v>50330</c:v>
                </c:pt>
                <c:pt idx="2">
                  <c:v>47300</c:v>
                </c:pt>
                <c:pt idx="3">
                  <c:v>45500</c:v>
                </c:pt>
              </c:numCache>
            </c:numRef>
          </c:val>
          <c:extLst>
            <c:ext xmlns:c16="http://schemas.microsoft.com/office/drawing/2014/chart" uri="{C3380CC4-5D6E-409C-BE32-E72D297353CC}">
              <c16:uniqueId val="{00000000-249E-4BE6-AEFE-48362567988A}"/>
            </c:ext>
          </c:extLst>
        </c:ser>
        <c:dLbls>
          <c:showLegendKey val="0"/>
          <c:showVal val="1"/>
          <c:showCatName val="0"/>
          <c:showSerName val="0"/>
          <c:showPercent val="0"/>
          <c:showBubbleSize val="0"/>
        </c:dLbls>
        <c:axId val="1286053456"/>
        <c:axId val="1286057200"/>
      </c:areaChart>
      <c:catAx>
        <c:axId val="1286053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7200"/>
        <c:crosses val="autoZero"/>
        <c:auto val="1"/>
        <c:lblAlgn val="ctr"/>
        <c:lblOffset val="100"/>
        <c:noMultiLvlLbl val="0"/>
      </c:catAx>
      <c:valAx>
        <c:axId val="1286057200"/>
        <c:scaling>
          <c:orientation val="minMax"/>
        </c:scaling>
        <c:delete val="1"/>
        <c:axPos val="l"/>
        <c:numFmt formatCode="_(&quot;$&quot;* #,##0.00_);_(&quot;$&quot;* \(#,##0.00\);_(&quot;$&quot;* &quot;-&quot;??_);_(@_)" sourceLinked="1"/>
        <c:majorTickMark val="none"/>
        <c:minorTickMark val="none"/>
        <c:tickLblPos val="nextTo"/>
        <c:crossAx val="1286053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1.xlsx]pivot_table!PivotTable7</c:name>
    <c:fmtId val="2"/>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Quantity per Customer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pivot_table!$B$10</c:f>
              <c:strCache>
                <c:ptCount val="1"/>
                <c:pt idx="0">
                  <c:v>Total</c:v>
                </c:pt>
              </c:strCache>
            </c:strRef>
          </c:tx>
          <c:spPr>
            <a:solidFill>
              <a:srgbClr val="FF0000"/>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pivot_table!$A$11:$A$19</c:f>
              <c:strCache>
                <c:ptCount val="8"/>
                <c:pt idx="0">
                  <c:v>Daniel</c:v>
                </c:pt>
                <c:pt idx="1">
                  <c:v>David</c:v>
                </c:pt>
                <c:pt idx="2">
                  <c:v>Grace</c:v>
                </c:pt>
                <c:pt idx="3">
                  <c:v>John</c:v>
                </c:pt>
                <c:pt idx="4">
                  <c:v>Linda</c:v>
                </c:pt>
                <c:pt idx="5">
                  <c:v>Mary</c:v>
                </c:pt>
                <c:pt idx="6">
                  <c:v>Michael</c:v>
                </c:pt>
                <c:pt idx="7">
                  <c:v>Sarah</c:v>
                </c:pt>
              </c:strCache>
            </c:strRef>
          </c:cat>
          <c:val>
            <c:numRef>
              <c:f>pivot_table!$B$11:$B$19</c:f>
              <c:numCache>
                <c:formatCode>General</c:formatCode>
                <c:ptCount val="8"/>
                <c:pt idx="0">
                  <c:v>87</c:v>
                </c:pt>
                <c:pt idx="1">
                  <c:v>87</c:v>
                </c:pt>
                <c:pt idx="2">
                  <c:v>128</c:v>
                </c:pt>
                <c:pt idx="3">
                  <c:v>85</c:v>
                </c:pt>
                <c:pt idx="4">
                  <c:v>135</c:v>
                </c:pt>
                <c:pt idx="5">
                  <c:v>128</c:v>
                </c:pt>
                <c:pt idx="6">
                  <c:v>86</c:v>
                </c:pt>
                <c:pt idx="7">
                  <c:v>136</c:v>
                </c:pt>
              </c:numCache>
            </c:numRef>
          </c:val>
          <c:extLst>
            <c:ext xmlns:c16="http://schemas.microsoft.com/office/drawing/2014/chart" uri="{C3380CC4-5D6E-409C-BE32-E72D297353CC}">
              <c16:uniqueId val="{00000002-73C3-4F69-9455-0988FDA4B048}"/>
            </c:ext>
          </c:extLst>
        </c:ser>
        <c:dLbls>
          <c:dLblPos val="outEnd"/>
          <c:showLegendKey val="0"/>
          <c:showVal val="1"/>
          <c:showCatName val="0"/>
          <c:showSerName val="0"/>
          <c:showPercent val="0"/>
          <c:showBubbleSize val="0"/>
        </c:dLbls>
        <c:gapWidth val="182"/>
        <c:axId val="1403544095"/>
        <c:axId val="1403547423"/>
      </c:barChart>
      <c:catAx>
        <c:axId val="140354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547423"/>
        <c:crosses val="autoZero"/>
        <c:auto val="1"/>
        <c:lblAlgn val="ctr"/>
        <c:lblOffset val="100"/>
        <c:noMultiLvlLbl val="0"/>
      </c:catAx>
      <c:valAx>
        <c:axId val="1403547423"/>
        <c:scaling>
          <c:orientation val="minMax"/>
        </c:scaling>
        <c:delete val="1"/>
        <c:axPos val="b"/>
        <c:numFmt formatCode="General" sourceLinked="1"/>
        <c:majorTickMark val="none"/>
        <c:minorTickMark val="none"/>
        <c:tickLblPos val="nextTo"/>
        <c:crossAx val="1403544095"/>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1.xlsx]pivot_table!PivotTable10</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 </a:t>
            </a:r>
            <a:r>
              <a:rPr lang="en-US" baseline="0">
                <a:solidFill>
                  <a:srgbClr val="FF0000"/>
                </a:solidFill>
              </a:rPr>
              <a:t>product per region</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pivot_table!$F$19:$F$20</c:f>
              <c:strCache>
                <c:ptCount val="1"/>
                <c:pt idx="0">
                  <c:v>Clothing</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pivot_table!$E$21:$E$25</c:f>
              <c:strCache>
                <c:ptCount val="4"/>
                <c:pt idx="0">
                  <c:v>East</c:v>
                </c:pt>
                <c:pt idx="1">
                  <c:v>North</c:v>
                </c:pt>
                <c:pt idx="2">
                  <c:v>South</c:v>
                </c:pt>
                <c:pt idx="3">
                  <c:v>West</c:v>
                </c:pt>
              </c:strCache>
            </c:strRef>
          </c:cat>
          <c:val>
            <c:numRef>
              <c:f>pivot_table!$F$21:$F$25</c:f>
              <c:numCache>
                <c:formatCode>General</c:formatCode>
                <c:ptCount val="4"/>
                <c:pt idx="0">
                  <c:v>174</c:v>
                </c:pt>
              </c:numCache>
            </c:numRef>
          </c:val>
          <c:extLst>
            <c:ext xmlns:c16="http://schemas.microsoft.com/office/drawing/2014/chart" uri="{C3380CC4-5D6E-409C-BE32-E72D297353CC}">
              <c16:uniqueId val="{00000000-4CD9-470C-9241-153DEE646A65}"/>
            </c:ext>
          </c:extLst>
        </c:ser>
        <c:ser>
          <c:idx val="1"/>
          <c:order val="1"/>
          <c:tx>
            <c:strRef>
              <c:f>pivot_table!$G$19:$G$20</c:f>
              <c:strCache>
                <c:ptCount val="1"/>
                <c:pt idx="0">
                  <c:v>Electronics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pivot_table!$E$21:$E$25</c:f>
              <c:strCache>
                <c:ptCount val="4"/>
                <c:pt idx="0">
                  <c:v>East</c:v>
                </c:pt>
                <c:pt idx="1">
                  <c:v>North</c:v>
                </c:pt>
                <c:pt idx="2">
                  <c:v>South</c:v>
                </c:pt>
                <c:pt idx="3">
                  <c:v>West</c:v>
                </c:pt>
              </c:strCache>
            </c:strRef>
          </c:cat>
          <c:val>
            <c:numRef>
              <c:f>pivot_table!$G$21:$G$25</c:f>
              <c:numCache>
                <c:formatCode>General</c:formatCode>
                <c:ptCount val="4"/>
                <c:pt idx="1">
                  <c:v>171</c:v>
                </c:pt>
              </c:numCache>
            </c:numRef>
          </c:val>
          <c:extLst>
            <c:ext xmlns:c16="http://schemas.microsoft.com/office/drawing/2014/chart" uri="{C3380CC4-5D6E-409C-BE32-E72D297353CC}">
              <c16:uniqueId val="{00000016-944F-4F85-8973-1FE10F841EC0}"/>
            </c:ext>
          </c:extLst>
        </c:ser>
        <c:ser>
          <c:idx val="2"/>
          <c:order val="2"/>
          <c:tx>
            <c:strRef>
              <c:f>pivot_table!$H$19:$H$20</c:f>
              <c:strCache>
                <c:ptCount val="1"/>
                <c:pt idx="0">
                  <c:v>Food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pivot_table!$E$21:$E$25</c:f>
              <c:strCache>
                <c:ptCount val="4"/>
                <c:pt idx="0">
                  <c:v>East</c:v>
                </c:pt>
                <c:pt idx="1">
                  <c:v>North</c:v>
                </c:pt>
                <c:pt idx="2">
                  <c:v>South</c:v>
                </c:pt>
                <c:pt idx="3">
                  <c:v>West</c:v>
                </c:pt>
              </c:strCache>
            </c:strRef>
          </c:cat>
          <c:val>
            <c:numRef>
              <c:f>pivot_table!$H$21:$H$25</c:f>
              <c:numCache>
                <c:formatCode>General</c:formatCode>
                <c:ptCount val="4"/>
                <c:pt idx="3">
                  <c:v>271</c:v>
                </c:pt>
              </c:numCache>
            </c:numRef>
          </c:val>
          <c:extLst>
            <c:ext xmlns:c16="http://schemas.microsoft.com/office/drawing/2014/chart" uri="{C3380CC4-5D6E-409C-BE32-E72D297353CC}">
              <c16:uniqueId val="{00000017-944F-4F85-8973-1FE10F841EC0}"/>
            </c:ext>
          </c:extLst>
        </c:ser>
        <c:ser>
          <c:idx val="3"/>
          <c:order val="3"/>
          <c:tx>
            <c:strRef>
              <c:f>pivot_table!$I$19:$I$20</c:f>
              <c:strCache>
                <c:ptCount val="1"/>
                <c:pt idx="0">
                  <c:v>Furniture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pivot_table!$E$21:$E$25</c:f>
              <c:strCache>
                <c:ptCount val="4"/>
                <c:pt idx="0">
                  <c:v>East</c:v>
                </c:pt>
                <c:pt idx="1">
                  <c:v>North</c:v>
                </c:pt>
                <c:pt idx="2">
                  <c:v>South</c:v>
                </c:pt>
                <c:pt idx="3">
                  <c:v>West</c:v>
                </c:pt>
              </c:strCache>
            </c:strRef>
          </c:cat>
          <c:val>
            <c:numRef>
              <c:f>pivot_table!$I$21:$I$25</c:f>
              <c:numCache>
                <c:formatCode>General</c:formatCode>
                <c:ptCount val="4"/>
                <c:pt idx="2">
                  <c:v>256</c:v>
                </c:pt>
              </c:numCache>
            </c:numRef>
          </c:val>
          <c:extLst>
            <c:ext xmlns:c16="http://schemas.microsoft.com/office/drawing/2014/chart" uri="{C3380CC4-5D6E-409C-BE32-E72D297353CC}">
              <c16:uniqueId val="{00000018-944F-4F85-8973-1FE10F841EC0}"/>
            </c:ext>
          </c:extLst>
        </c:ser>
        <c:dLbls>
          <c:dLblPos val="outEnd"/>
          <c:showLegendKey val="0"/>
          <c:showVal val="1"/>
          <c:showCatName val="0"/>
          <c:showSerName val="0"/>
          <c:showPercent val="0"/>
          <c:showBubbleSize val="0"/>
        </c:dLbls>
        <c:gapWidth val="100"/>
        <c:overlap val="-24"/>
        <c:axId val="66998383"/>
        <c:axId val="67008783"/>
      </c:barChart>
      <c:catAx>
        <c:axId val="669983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008783"/>
        <c:crosses val="autoZero"/>
        <c:auto val="1"/>
        <c:lblAlgn val="ctr"/>
        <c:lblOffset val="100"/>
        <c:noMultiLvlLbl val="0"/>
      </c:catAx>
      <c:valAx>
        <c:axId val="67008783"/>
        <c:scaling>
          <c:orientation val="minMax"/>
        </c:scaling>
        <c:delete val="1"/>
        <c:axPos val="l"/>
        <c:numFmt formatCode="General" sourceLinked="1"/>
        <c:majorTickMark val="none"/>
        <c:minorTickMark val="none"/>
        <c:tickLblPos val="nextTo"/>
        <c:crossAx val="6699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1.xlsx]pivot_table!PivotTable12</c:name>
    <c:fmtId val="2"/>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baseline="0">
                <a:solidFill>
                  <a:srgbClr val="FF0000"/>
                </a:solidFill>
              </a:rPr>
              <a:t>REVENUE PER  CUSTOMER</a:t>
            </a:r>
            <a:endParaRPr lang="en-US" b="1">
              <a:solidFill>
                <a:srgbClr val="FF0000"/>
              </a:solidFill>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pivot_table!$F$28</c:f>
              <c:strCache>
                <c:ptCount val="1"/>
                <c:pt idx="0">
                  <c:v>Total</c:v>
                </c:pt>
              </c:strCache>
            </c:strRef>
          </c:tx>
          <c:spPr>
            <a:solidFill>
              <a:srgbClr val="FF0000"/>
            </a:solidFill>
            <a:ln>
              <a:noFill/>
            </a:ln>
            <a:effectLst/>
            <a:sp3d/>
          </c:spPr>
          <c:invertIfNegative val="0"/>
          <c:cat>
            <c:strRef>
              <c:f>pivot_table!$E$29:$E$37</c:f>
              <c:strCache>
                <c:ptCount val="8"/>
                <c:pt idx="0">
                  <c:v>Michael</c:v>
                </c:pt>
                <c:pt idx="1">
                  <c:v>John</c:v>
                </c:pt>
                <c:pt idx="2">
                  <c:v>Mary</c:v>
                </c:pt>
                <c:pt idx="3">
                  <c:v>David</c:v>
                </c:pt>
                <c:pt idx="4">
                  <c:v>Daniel</c:v>
                </c:pt>
                <c:pt idx="5">
                  <c:v>Sarah</c:v>
                </c:pt>
                <c:pt idx="6">
                  <c:v>Grace</c:v>
                </c:pt>
                <c:pt idx="7">
                  <c:v>Linda</c:v>
                </c:pt>
              </c:strCache>
            </c:strRef>
          </c:cat>
          <c:val>
            <c:numRef>
              <c:f>pivot_table!$F$29:$F$37</c:f>
              <c:numCache>
                <c:formatCode>_("$"* #,##0.00_);_("$"* \(#,##0.00\);_("$"* "-"??_);_(@_)</c:formatCode>
                <c:ptCount val="8"/>
                <c:pt idx="0">
                  <c:v>25200</c:v>
                </c:pt>
                <c:pt idx="1">
                  <c:v>25130</c:v>
                </c:pt>
                <c:pt idx="2">
                  <c:v>24400</c:v>
                </c:pt>
                <c:pt idx="3">
                  <c:v>23580</c:v>
                </c:pt>
                <c:pt idx="4">
                  <c:v>23380</c:v>
                </c:pt>
                <c:pt idx="5">
                  <c:v>23200</c:v>
                </c:pt>
                <c:pt idx="6">
                  <c:v>22900</c:v>
                </c:pt>
                <c:pt idx="7">
                  <c:v>22300</c:v>
                </c:pt>
              </c:numCache>
            </c:numRef>
          </c:val>
          <c:extLst>
            <c:ext xmlns:c16="http://schemas.microsoft.com/office/drawing/2014/chart" uri="{C3380CC4-5D6E-409C-BE32-E72D297353CC}">
              <c16:uniqueId val="{00000000-5268-4492-BDC1-30CACC10C743}"/>
            </c:ext>
          </c:extLst>
        </c:ser>
        <c:dLbls>
          <c:showLegendKey val="0"/>
          <c:showVal val="0"/>
          <c:showCatName val="0"/>
          <c:showSerName val="0"/>
          <c:showPercent val="0"/>
          <c:showBubbleSize val="0"/>
        </c:dLbls>
        <c:gapWidth val="150"/>
        <c:shape val="box"/>
        <c:axId val="126918175"/>
        <c:axId val="126929823"/>
        <c:axId val="0"/>
      </c:bar3DChart>
      <c:catAx>
        <c:axId val="126918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9823"/>
        <c:crosses val="autoZero"/>
        <c:auto val="1"/>
        <c:lblAlgn val="ctr"/>
        <c:lblOffset val="100"/>
        <c:noMultiLvlLbl val="0"/>
      </c:catAx>
      <c:valAx>
        <c:axId val="12692982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1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1.xlsx]pivot_table!PivotTable11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Average</a:t>
            </a:r>
            <a:r>
              <a:rPr lang="en-US" b="1" baseline="0">
                <a:solidFill>
                  <a:srgbClr val="FF0000"/>
                </a:solidFill>
              </a:rPr>
              <a:t> </a:t>
            </a:r>
            <a:r>
              <a:rPr lang="en-US" b="1">
                <a:solidFill>
                  <a:srgbClr val="FF0000"/>
                </a:solidFill>
              </a:rPr>
              <a:t>Unit</a:t>
            </a:r>
            <a:r>
              <a:rPr lang="en-US" b="1" baseline="0">
                <a:solidFill>
                  <a:srgbClr val="FF0000"/>
                </a:solidFill>
              </a:rPr>
              <a:t> </a:t>
            </a:r>
            <a:r>
              <a:rPr lang="en-US" b="1">
                <a:solidFill>
                  <a:srgbClr val="FF0000"/>
                </a:solidFill>
              </a:rPr>
              <a:t>Price_%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1"/>
          <c:order val="0"/>
          <c:tx>
            <c:strRef>
              <c:f>pivot_table!$B$28</c:f>
              <c:strCache>
                <c:ptCount val="1"/>
                <c:pt idx="0">
                  <c:v>Average of Unit_Price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A4-41B1-B142-6ADD34DDCA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A4-41B1-B142-6ADD34DDCA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A4-41B1-B142-6ADD34DDCA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A4-41B1-B142-6ADD34DDCAF4}"/>
              </c:ext>
            </c:extLst>
          </c:dPt>
          <c:dLbls>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pivot_table!$A$29:$A$33</c:f>
              <c:strCache>
                <c:ptCount val="4"/>
                <c:pt idx="0">
                  <c:v>Clothing</c:v>
                </c:pt>
                <c:pt idx="1">
                  <c:v>Electronics</c:v>
                </c:pt>
                <c:pt idx="2">
                  <c:v>Food</c:v>
                </c:pt>
                <c:pt idx="3">
                  <c:v>Furniture</c:v>
                </c:pt>
              </c:strCache>
            </c:strRef>
          </c:cat>
          <c:val>
            <c:numRef>
              <c:f>pivot_table!$B$29:$B$33</c:f>
              <c:numCache>
                <c:formatCode>"$"#,##0.00</c:formatCode>
                <c:ptCount val="4"/>
                <c:pt idx="0">
                  <c:v>425.26315789473682</c:v>
                </c:pt>
                <c:pt idx="1">
                  <c:v>452.5</c:v>
                </c:pt>
                <c:pt idx="2">
                  <c:v>443.68421052631578</c:v>
                </c:pt>
                <c:pt idx="3">
                  <c:v>469.21052631578948</c:v>
                </c:pt>
              </c:numCache>
            </c:numRef>
          </c:val>
          <c:extLst>
            <c:ext xmlns:c16="http://schemas.microsoft.com/office/drawing/2014/chart" uri="{C3380CC4-5D6E-409C-BE32-E72D297353CC}">
              <c16:uniqueId val="{00000008-40A4-41B1-B142-6ADD34DDCAF4}"/>
            </c:ext>
          </c:extLst>
        </c:ser>
        <c:ser>
          <c:idx val="0"/>
          <c:order val="1"/>
          <c:tx>
            <c:strRef>
              <c:f>pivot_table!$C$28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0A4-41B1-B142-6ADD34DDCA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0A4-41B1-B142-6ADD34DDCA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0A4-41B1-B142-6ADD34DDCA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0A4-41B1-B142-6ADD34DDCAF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pivot_table!$A$29:$A$33</c:f>
              <c:strCache>
                <c:ptCount val="4"/>
                <c:pt idx="0">
                  <c:v>Clothing</c:v>
                </c:pt>
                <c:pt idx="1">
                  <c:v>Electronics</c:v>
                </c:pt>
                <c:pt idx="2">
                  <c:v>Food</c:v>
                </c:pt>
                <c:pt idx="3">
                  <c:v>Furniture</c:v>
                </c:pt>
              </c:strCache>
            </c:strRef>
          </c:cat>
          <c:val>
            <c:numRef>
              <c:f>pivot_table!$C$29:$C$33</c:f>
              <c:numCache>
                <c:formatCode>0%</c:formatCode>
                <c:ptCount val="4"/>
                <c:pt idx="0">
                  <c:v>46960</c:v>
                </c:pt>
                <c:pt idx="1">
                  <c:v>50330</c:v>
                </c:pt>
                <c:pt idx="2">
                  <c:v>45500</c:v>
                </c:pt>
                <c:pt idx="3">
                  <c:v>47300</c:v>
                </c:pt>
              </c:numCache>
            </c:numRef>
          </c:val>
          <c:extLst>
            <c:ext xmlns:c16="http://schemas.microsoft.com/office/drawing/2014/chart" uri="{C3380CC4-5D6E-409C-BE32-E72D297353CC}">
              <c16:uniqueId val="{00000011-40A4-41B1-B142-6ADD34DDCA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1.xlsx]pivot_table!PivotTable12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FF0000"/>
                </a:solidFill>
              </a:rPr>
              <a:t>revenue</a:t>
            </a:r>
            <a:r>
              <a:rPr lang="en-US" sz="1400" b="1" baseline="0">
                <a:solidFill>
                  <a:srgbClr val="FF0000"/>
                </a:solidFill>
              </a:rPr>
              <a:t> per customer</a:t>
            </a:r>
            <a:endParaRPr lang="en-US" sz="1400" b="1">
              <a:solidFill>
                <a:srgbClr val="FF0000"/>
              </a:solidFill>
            </a:endParaRPr>
          </a:p>
        </c:rich>
      </c:tx>
      <c:layout>
        <c:manualLayout>
          <c:xMode val="edge"/>
          <c:yMode val="edge"/>
          <c:x val="0.31144797222927778"/>
          <c:y val="5.3082149778006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pivot_table!$F$28</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pivot_table!$E$29:$E$37</c:f>
              <c:strCache>
                <c:ptCount val="8"/>
                <c:pt idx="0">
                  <c:v>Michael</c:v>
                </c:pt>
                <c:pt idx="1">
                  <c:v>John</c:v>
                </c:pt>
                <c:pt idx="2">
                  <c:v>Mary</c:v>
                </c:pt>
                <c:pt idx="3">
                  <c:v>David</c:v>
                </c:pt>
                <c:pt idx="4">
                  <c:v>Daniel</c:v>
                </c:pt>
                <c:pt idx="5">
                  <c:v>Sarah</c:v>
                </c:pt>
                <c:pt idx="6">
                  <c:v>Grace</c:v>
                </c:pt>
                <c:pt idx="7">
                  <c:v>Linda</c:v>
                </c:pt>
              </c:strCache>
            </c:strRef>
          </c:cat>
          <c:val>
            <c:numRef>
              <c:f>pivot_table!$F$29:$F$37</c:f>
              <c:numCache>
                <c:formatCode>_("$"* #,##0.00_);_("$"* \(#,##0.00\);_("$"* "-"??_);_(@_)</c:formatCode>
                <c:ptCount val="8"/>
                <c:pt idx="0">
                  <c:v>25200</c:v>
                </c:pt>
                <c:pt idx="1">
                  <c:v>25130</c:v>
                </c:pt>
                <c:pt idx="2">
                  <c:v>24400</c:v>
                </c:pt>
                <c:pt idx="3">
                  <c:v>23580</c:v>
                </c:pt>
                <c:pt idx="4">
                  <c:v>23380</c:v>
                </c:pt>
                <c:pt idx="5">
                  <c:v>23200</c:v>
                </c:pt>
                <c:pt idx="6">
                  <c:v>22900</c:v>
                </c:pt>
                <c:pt idx="7">
                  <c:v>22300</c:v>
                </c:pt>
              </c:numCache>
            </c:numRef>
          </c:val>
          <c:extLst>
            <c:ext xmlns:c16="http://schemas.microsoft.com/office/drawing/2014/chart" uri="{C3380CC4-5D6E-409C-BE32-E72D297353CC}">
              <c16:uniqueId val="{00000000-D6BE-4927-87C7-8E6D9E72FA99}"/>
            </c:ext>
          </c:extLst>
        </c:ser>
        <c:dLbls>
          <c:dLblPos val="outEnd"/>
          <c:showLegendKey val="0"/>
          <c:showVal val="1"/>
          <c:showCatName val="0"/>
          <c:showSerName val="0"/>
          <c:showPercent val="0"/>
          <c:showBubbleSize val="0"/>
        </c:dLbls>
        <c:gapWidth val="219"/>
        <c:overlap val="-27"/>
        <c:axId val="1316930655"/>
        <c:axId val="1316932735"/>
      </c:barChart>
      <c:catAx>
        <c:axId val="131693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32735"/>
        <c:crosses val="autoZero"/>
        <c:auto val="1"/>
        <c:lblAlgn val="ctr"/>
        <c:lblOffset val="100"/>
        <c:noMultiLvlLbl val="0"/>
      </c:catAx>
      <c:valAx>
        <c:axId val="1316932735"/>
        <c:scaling>
          <c:orientation val="minMax"/>
        </c:scaling>
        <c:delete val="1"/>
        <c:axPos val="l"/>
        <c:numFmt formatCode="_(&quot;$&quot;* #,##0.00_);_(&quot;$&quot;* \(#,##0.00\);_(&quot;$&quot;* &quot;-&quot;??_);_(@_)" sourceLinked="1"/>
        <c:majorTickMark val="out"/>
        <c:minorTickMark val="none"/>
        <c:tickLblPos val="nextTo"/>
        <c:crossAx val="131693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285749</xdr:colOff>
      <xdr:row>0</xdr:row>
      <xdr:rowOff>152400</xdr:rowOff>
    </xdr:from>
    <xdr:to>
      <xdr:col>15</xdr:col>
      <xdr:colOff>523874</xdr:colOff>
      <xdr:row>3</xdr:row>
      <xdr:rowOff>57150</xdr:rowOff>
    </xdr:to>
    <xdr:sp macro="" textlink="">
      <xdr:nvSpPr>
        <xdr:cNvPr id="2" name="Rectangle 1">
          <a:extLst>
            <a:ext uri="{FF2B5EF4-FFF2-40B4-BE49-F238E27FC236}">
              <a16:creationId xmlns:a16="http://schemas.microsoft.com/office/drawing/2014/main" id="{44A47A33-4E2B-4FEE-B8C8-0E4962E905F8}"/>
            </a:ext>
          </a:extLst>
        </xdr:cNvPr>
        <xdr:cNvSpPr/>
      </xdr:nvSpPr>
      <xdr:spPr>
        <a:xfrm>
          <a:off x="3943349" y="152400"/>
          <a:ext cx="6734175" cy="47625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2">
                  <a:lumMod val="75000"/>
                </a:schemeClr>
              </a:solidFill>
            </a:rPr>
            <a:t>SALES PERFORMANCE DASHBOARD</a:t>
          </a:r>
        </a:p>
      </xdr:txBody>
    </xdr:sp>
    <xdr:clientData/>
  </xdr:twoCellAnchor>
  <xdr:twoCellAnchor>
    <xdr:from>
      <xdr:col>11</xdr:col>
      <xdr:colOff>304800</xdr:colOff>
      <xdr:row>6</xdr:row>
      <xdr:rowOff>123825</xdr:rowOff>
    </xdr:from>
    <xdr:to>
      <xdr:col>20</xdr:col>
      <xdr:colOff>381000</xdr:colOff>
      <xdr:row>20</xdr:row>
      <xdr:rowOff>85726</xdr:rowOff>
    </xdr:to>
    <xdr:graphicFrame macro="">
      <xdr:nvGraphicFramePr>
        <xdr:cNvPr id="3" name="Chart 2">
          <a:extLst>
            <a:ext uri="{FF2B5EF4-FFF2-40B4-BE49-F238E27FC236}">
              <a16:creationId xmlns:a16="http://schemas.microsoft.com/office/drawing/2014/main" id="{6E8EC7F3-3E9B-4849-B1CA-A768144E6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361949</xdr:colOff>
      <xdr:row>6</xdr:row>
      <xdr:rowOff>114299</xdr:rowOff>
    </xdr:from>
    <xdr:to>
      <xdr:col>11</xdr:col>
      <xdr:colOff>123824</xdr:colOff>
      <xdr:row>20</xdr:row>
      <xdr:rowOff>95250</xdr:rowOff>
    </xdr:to>
    <xdr:graphicFrame macro="">
      <xdr:nvGraphicFramePr>
        <xdr:cNvPr id="4" name="Chart 3">
          <a:extLst>
            <a:ext uri="{FF2B5EF4-FFF2-40B4-BE49-F238E27FC236}">
              <a16:creationId xmlns:a16="http://schemas.microsoft.com/office/drawing/2014/main" id="{00F771C8-AE2A-402F-87B0-5181474E3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228600</xdr:colOff>
      <xdr:row>20</xdr:row>
      <xdr:rowOff>180975</xdr:rowOff>
    </xdr:from>
    <xdr:to>
      <xdr:col>20</xdr:col>
      <xdr:colOff>400050</xdr:colOff>
      <xdr:row>35</xdr:row>
      <xdr:rowOff>66675</xdr:rowOff>
    </xdr:to>
    <xdr:graphicFrame macro="">
      <xdr:nvGraphicFramePr>
        <xdr:cNvPr id="5" name="Chart 4">
          <a:extLst>
            <a:ext uri="{FF2B5EF4-FFF2-40B4-BE49-F238E27FC236}">
              <a16:creationId xmlns:a16="http://schemas.microsoft.com/office/drawing/2014/main" id="{8BB4E75E-7169-4B05-AB0B-E7C46290C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19049</xdr:colOff>
      <xdr:row>21</xdr:row>
      <xdr:rowOff>0</xdr:rowOff>
    </xdr:from>
    <xdr:to>
      <xdr:col>7</xdr:col>
      <xdr:colOff>171450</xdr:colOff>
      <xdr:row>35</xdr:row>
      <xdr:rowOff>76200</xdr:rowOff>
    </xdr:to>
    <xdr:graphicFrame macro="">
      <xdr:nvGraphicFramePr>
        <xdr:cNvPr id="6" name="Chart 5">
          <a:extLst>
            <a:ext uri="{FF2B5EF4-FFF2-40B4-BE49-F238E27FC236}">
              <a16:creationId xmlns:a16="http://schemas.microsoft.com/office/drawing/2014/main" id="{3AA94B7E-3459-41EC-A924-31D4C11D4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180974</xdr:colOff>
      <xdr:row>36</xdr:row>
      <xdr:rowOff>0</xdr:rowOff>
    </xdr:from>
    <xdr:to>
      <xdr:col>7</xdr:col>
      <xdr:colOff>342899</xdr:colOff>
      <xdr:row>51</xdr:row>
      <xdr:rowOff>9525</xdr:rowOff>
    </xdr:to>
    <xdr:graphicFrame macro="">
      <xdr:nvGraphicFramePr>
        <xdr:cNvPr id="8" name="Chart 7">
          <a:extLst>
            <a:ext uri="{FF2B5EF4-FFF2-40B4-BE49-F238E27FC236}">
              <a16:creationId xmlns:a16="http://schemas.microsoft.com/office/drawing/2014/main" id="{96173606-20DD-4F95-BED8-2BFF6FFC7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323850</xdr:colOff>
      <xdr:row>20</xdr:row>
      <xdr:rowOff>180975</xdr:rowOff>
    </xdr:from>
    <xdr:to>
      <xdr:col>13</xdr:col>
      <xdr:colOff>95250</xdr:colOff>
      <xdr:row>35</xdr:row>
      <xdr:rowOff>66675</xdr:rowOff>
    </xdr:to>
    <xdr:graphicFrame macro="">
      <xdr:nvGraphicFramePr>
        <xdr:cNvPr id="9" name="Chart 8">
          <a:extLst>
            <a:ext uri="{FF2B5EF4-FFF2-40B4-BE49-F238E27FC236}">
              <a16:creationId xmlns:a16="http://schemas.microsoft.com/office/drawing/2014/main" id="{209B81BC-D8BB-4830-AC7B-DF92ACF9A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485775</xdr:colOff>
      <xdr:row>37</xdr:row>
      <xdr:rowOff>95250</xdr:rowOff>
    </xdr:from>
    <xdr:to>
      <xdr:col>13</xdr:col>
      <xdr:colOff>285750</xdr:colOff>
      <xdr:row>52</xdr:row>
      <xdr:rowOff>95250</xdr:rowOff>
    </xdr:to>
    <xdr:graphicFrame macro="">
      <xdr:nvGraphicFramePr>
        <xdr:cNvPr id="12" name="Chart 11">
          <a:extLst>
            <a:ext uri="{FF2B5EF4-FFF2-40B4-BE49-F238E27FC236}">
              <a16:creationId xmlns:a16="http://schemas.microsoft.com/office/drawing/2014/main" id="{D034E63E-F8EA-468B-B250-67D3651BE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409575</xdr:colOff>
      <xdr:row>35</xdr:row>
      <xdr:rowOff>152399</xdr:rowOff>
    </xdr:from>
    <xdr:to>
      <xdr:col>20</xdr:col>
      <xdr:colOff>381001</xdr:colOff>
      <xdr:row>51</xdr:row>
      <xdr:rowOff>161924</xdr:rowOff>
    </xdr:to>
    <xdr:graphicFrame macro="">
      <xdr:nvGraphicFramePr>
        <xdr:cNvPr id="13" name="Chart 12">
          <a:extLst>
            <a:ext uri="{FF2B5EF4-FFF2-40B4-BE49-F238E27FC236}">
              <a16:creationId xmlns:a16="http://schemas.microsoft.com/office/drawing/2014/main" id="{DAE2DD8D-02A1-401C-9A32-B7288D446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123825</xdr:colOff>
      <xdr:row>3</xdr:row>
      <xdr:rowOff>152400</xdr:rowOff>
    </xdr:from>
    <xdr:to>
      <xdr:col>3</xdr:col>
      <xdr:colOff>247650</xdr:colOff>
      <xdr:row>20</xdr:row>
      <xdr:rowOff>161926</xdr:rowOff>
    </xdr:to>
    <xdr:grpSp>
      <xdr:nvGrpSpPr>
        <xdr:cNvPr id="24" name="Group 23">
          <a:extLst>
            <a:ext uri="{FF2B5EF4-FFF2-40B4-BE49-F238E27FC236}">
              <a16:creationId xmlns:a16="http://schemas.microsoft.com/office/drawing/2014/main" id="{B11ED141-39F2-4DF0-B7DB-B5C9734981BA}"/>
            </a:ext>
          </a:extLst>
        </xdr:cNvPr>
        <xdr:cNvGrpSpPr/>
      </xdr:nvGrpSpPr>
      <xdr:grpSpPr>
        <a:xfrm>
          <a:off x="123825" y="723900"/>
          <a:ext cx="1952625" cy="3400426"/>
          <a:chOff x="66675" y="466725"/>
          <a:chExt cx="1952625" cy="3400426"/>
        </a:xfrm>
      </xdr:grpSpPr>
      <xdr:sp macro="" textlink="">
        <xdr:nvSpPr>
          <xdr:cNvPr id="7" name="Rectangle 6">
            <a:extLst>
              <a:ext uri="{FF2B5EF4-FFF2-40B4-BE49-F238E27FC236}">
                <a16:creationId xmlns:a16="http://schemas.microsoft.com/office/drawing/2014/main" id="{1AD6364A-5664-4D78-A9DC-E91A0CAA8A32}"/>
              </a:ext>
            </a:extLst>
          </xdr:cNvPr>
          <xdr:cNvSpPr/>
        </xdr:nvSpPr>
        <xdr:spPr>
          <a:xfrm>
            <a:off x="66675" y="466725"/>
            <a:ext cx="1952625" cy="340042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EC12A30E-5098-4381-8378-F2FE177D7644}"/>
                  </a:ext>
                </a:extLst>
              </xdr:cNvPr>
              <xdr:cNvGraphicFramePr/>
            </xdr:nvGraphicFramePr>
            <xdr:xfrm>
              <a:off x="76200" y="542925"/>
              <a:ext cx="1895475" cy="142875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800100"/>
                <a:ext cx="189547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 Product ">
                <a:extLst>
                  <a:ext uri="{FF2B5EF4-FFF2-40B4-BE49-F238E27FC236}">
                    <a16:creationId xmlns:a16="http://schemas.microsoft.com/office/drawing/2014/main" id="{4110E723-D9FE-4479-9D33-5342B7D04751}"/>
                  </a:ext>
                </a:extLst>
              </xdr:cNvPr>
              <xdr:cNvGraphicFramePr/>
            </xdr:nvGraphicFramePr>
            <xdr:xfrm>
              <a:off x="95250" y="2200275"/>
              <a:ext cx="1866901" cy="1590675"/>
            </xdr:xfrm>
            <a:graphic>
              <a:graphicData uri="http://schemas.microsoft.com/office/drawing/2010/slicer">
                <sle:slicer xmlns:sle="http://schemas.microsoft.com/office/drawing/2010/slicer" name=" Product "/>
              </a:graphicData>
            </a:graphic>
          </xdr:graphicFrame>
        </mc:Choice>
        <mc:Fallback xmlns="">
          <xdr:sp macro="" textlink="">
            <xdr:nvSpPr>
              <xdr:cNvPr id="0" name=""/>
              <xdr:cNvSpPr>
                <a:spLocks noTextEdit="1"/>
              </xdr:cNvSpPr>
            </xdr:nvSpPr>
            <xdr:spPr>
              <a:xfrm>
                <a:off x="152400" y="2457450"/>
                <a:ext cx="1866901"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152400</xdr:colOff>
      <xdr:row>4</xdr:row>
      <xdr:rowOff>95251</xdr:rowOff>
    </xdr:from>
    <xdr:to>
      <xdr:col>9</xdr:col>
      <xdr:colOff>371475</xdr:colOff>
      <xdr:row>6</xdr:row>
      <xdr:rowOff>152400</xdr:rowOff>
    </xdr:to>
    <xdr:sp macro="" textlink="">
      <xdr:nvSpPr>
        <xdr:cNvPr id="20" name="Rectangle 19">
          <a:extLst>
            <a:ext uri="{FF2B5EF4-FFF2-40B4-BE49-F238E27FC236}">
              <a16:creationId xmlns:a16="http://schemas.microsoft.com/office/drawing/2014/main" id="{CD10B748-78FB-4536-AAE9-3867CE195B25}"/>
            </a:ext>
          </a:extLst>
        </xdr:cNvPr>
        <xdr:cNvSpPr/>
      </xdr:nvSpPr>
      <xdr:spPr>
        <a:xfrm>
          <a:off x="4419600" y="857251"/>
          <a:ext cx="1438275" cy="5810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a:p>
          <a:pPr algn="ctr"/>
          <a:r>
            <a:rPr lang="en-US" sz="1200" b="1">
              <a:solidFill>
                <a:srgbClr val="FF0000"/>
              </a:solidFill>
            </a:rPr>
            <a:t>        Total</a:t>
          </a:r>
          <a:r>
            <a:rPr lang="en-US" sz="1200" b="1" baseline="0">
              <a:solidFill>
                <a:srgbClr val="FF0000"/>
              </a:solidFill>
            </a:rPr>
            <a:t> Quantity</a:t>
          </a:r>
          <a:endParaRPr lang="en-US" sz="1200" b="1">
            <a:solidFill>
              <a:srgbClr val="FF0000"/>
            </a:solidFill>
          </a:endParaRPr>
        </a:p>
      </xdr:txBody>
    </xdr:sp>
    <xdr:clientData/>
  </xdr:twoCellAnchor>
  <xdr:twoCellAnchor>
    <xdr:from>
      <xdr:col>9</xdr:col>
      <xdr:colOff>485775</xdr:colOff>
      <xdr:row>4</xdr:row>
      <xdr:rowOff>95249</xdr:rowOff>
    </xdr:from>
    <xdr:to>
      <xdr:col>11</xdr:col>
      <xdr:colOff>104775</xdr:colOff>
      <xdr:row>6</xdr:row>
      <xdr:rowOff>38099</xdr:rowOff>
    </xdr:to>
    <xdr:sp macro="" textlink="">
      <xdr:nvSpPr>
        <xdr:cNvPr id="21" name="Rectangle 20">
          <a:extLst>
            <a:ext uri="{FF2B5EF4-FFF2-40B4-BE49-F238E27FC236}">
              <a16:creationId xmlns:a16="http://schemas.microsoft.com/office/drawing/2014/main" id="{F57DF826-2F31-4561-867D-E777D160FB24}"/>
            </a:ext>
          </a:extLst>
        </xdr:cNvPr>
        <xdr:cNvSpPr/>
      </xdr:nvSpPr>
      <xdr:spPr>
        <a:xfrm>
          <a:off x="5972175" y="857249"/>
          <a:ext cx="1847850" cy="4667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rgbClr val="FF0000"/>
            </a:solidFill>
          </a:endParaRPr>
        </a:p>
        <a:p>
          <a:pPr algn="ctr"/>
          <a:r>
            <a:rPr lang="en-US" sz="1200" b="1">
              <a:solidFill>
                <a:srgbClr val="FF0000"/>
              </a:solidFill>
            </a:rPr>
            <a:t>Total Revenue</a:t>
          </a:r>
        </a:p>
      </xdr:txBody>
    </xdr:sp>
    <xdr:clientData/>
  </xdr:twoCellAnchor>
  <xdr:twoCellAnchor>
    <xdr:from>
      <xdr:col>11</xdr:col>
      <xdr:colOff>333375</xdr:colOff>
      <xdr:row>4</xdr:row>
      <xdr:rowOff>95249</xdr:rowOff>
    </xdr:from>
    <xdr:to>
      <xdr:col>13</xdr:col>
      <xdr:colOff>409574</xdr:colOff>
      <xdr:row>6</xdr:row>
      <xdr:rowOff>28575</xdr:rowOff>
    </xdr:to>
    <xdr:sp macro="" textlink="">
      <xdr:nvSpPr>
        <xdr:cNvPr id="22" name="Rectangle 21">
          <a:extLst>
            <a:ext uri="{FF2B5EF4-FFF2-40B4-BE49-F238E27FC236}">
              <a16:creationId xmlns:a16="http://schemas.microsoft.com/office/drawing/2014/main" id="{7A17E36A-0A29-4F8B-81D9-4C8117747725}"/>
            </a:ext>
          </a:extLst>
        </xdr:cNvPr>
        <xdr:cNvSpPr/>
      </xdr:nvSpPr>
      <xdr:spPr>
        <a:xfrm>
          <a:off x="8048625" y="857249"/>
          <a:ext cx="1295399" cy="4667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ctr"/>
          <a:r>
            <a:rPr lang="en-US" sz="1200" b="1">
              <a:solidFill>
                <a:srgbClr val="FF0000"/>
              </a:solidFill>
            </a:rPr>
            <a:t>Total Count</a:t>
          </a:r>
        </a:p>
      </xdr:txBody>
    </xdr:sp>
    <xdr:clientData/>
  </xdr:twoCellAnchor>
  <xdr:twoCellAnchor>
    <xdr:from>
      <xdr:col>6</xdr:col>
      <xdr:colOff>314325</xdr:colOff>
      <xdr:row>53</xdr:row>
      <xdr:rowOff>9525</xdr:rowOff>
    </xdr:from>
    <xdr:to>
      <xdr:col>15</xdr:col>
      <xdr:colOff>104775</xdr:colOff>
      <xdr:row>68</xdr:row>
      <xdr:rowOff>95250</xdr:rowOff>
    </xdr:to>
    <xdr:sp macro="" textlink="">
      <xdr:nvSpPr>
        <xdr:cNvPr id="25" name="Rectangle 24">
          <a:extLst>
            <a:ext uri="{FF2B5EF4-FFF2-40B4-BE49-F238E27FC236}">
              <a16:creationId xmlns:a16="http://schemas.microsoft.com/office/drawing/2014/main" id="{FC4B0D85-52CD-4D2A-AB02-55937A6FC73B}"/>
            </a:ext>
          </a:extLst>
        </xdr:cNvPr>
        <xdr:cNvSpPr/>
      </xdr:nvSpPr>
      <xdr:spPr>
        <a:xfrm>
          <a:off x="3971925" y="10258425"/>
          <a:ext cx="6286500" cy="2943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85.479356018521" createdVersion="7" refreshedVersion="7" minRefreshableVersion="3" recordCount="229" xr:uid="{2443CBE5-EB38-4B83-8B57-EAE730A5DDB6}">
  <cacheSource type="worksheet">
    <worksheetSource name="Table1"/>
  </cacheSource>
  <cacheFields count="8">
    <cacheField name="Order_ID " numFmtId="0">
      <sharedItems/>
    </cacheField>
    <cacheField name="Customer_ID " numFmtId="0">
      <sharedItems/>
    </cacheField>
    <cacheField name="Customer_Name " numFmtId="0">
      <sharedItems count="8">
        <s v="John"/>
        <s v="Mary"/>
        <s v="David"/>
        <s v="Sarah"/>
        <s v="Michael"/>
        <s v="Grace"/>
        <s v="Daniel"/>
        <s v="Linda"/>
      </sharedItems>
    </cacheField>
    <cacheField name="Region" numFmtId="0">
      <sharedItems count="4">
        <s v="North"/>
        <s v="South"/>
        <s v="East"/>
        <s v="West"/>
      </sharedItems>
    </cacheField>
    <cacheField name=" Product " numFmtId="0">
      <sharedItems count="4">
        <s v="Electronics"/>
        <s v="Furniture"/>
        <s v="Clothing"/>
        <s v="Food"/>
      </sharedItems>
    </cacheField>
    <cacheField name="Quantity " numFmtId="0">
      <sharedItems containsSemiMixedTypes="0" containsString="0" containsNumber="1" containsInteger="1" minValue="1" maxValue="10"/>
    </cacheField>
    <cacheField name="Unit_Price" numFmtId="44">
      <sharedItems containsSemiMixedTypes="0" containsString="0" containsNumber="1" containsInteger="1" minValue="20" maxValue="1000"/>
    </cacheField>
    <cacheField name="revenue" numFmtId="44">
      <sharedItems containsSemiMixedTypes="0" containsString="0" containsNumber="1" containsInteger="1" minValue="180" maxValue="1800"/>
    </cacheField>
  </cacheFields>
  <extLst>
    <ext xmlns:x14="http://schemas.microsoft.com/office/spreadsheetml/2009/9/main" uri="{725AE2AE-9491-48be-B2B4-4EB974FC3084}">
      <x14:pivotCacheDefinition pivotCacheId="4636841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s v="ORD001"/>
    <s v="CUST001"/>
    <x v="0"/>
    <x v="0"/>
    <x v="0"/>
    <n v="2"/>
    <n v="500"/>
    <n v="1000"/>
  </r>
  <r>
    <s v="ORD002"/>
    <s v="CUST002"/>
    <x v="1"/>
    <x v="1"/>
    <x v="1"/>
    <n v="1"/>
    <n v="800"/>
    <n v="800"/>
  </r>
  <r>
    <s v="ORD003"/>
    <s v="CUST003"/>
    <x v="2"/>
    <x v="2"/>
    <x v="2"/>
    <n v="5"/>
    <n v="50"/>
    <n v="250"/>
  </r>
  <r>
    <s v="ORD004"/>
    <s v="CUST004"/>
    <x v="3"/>
    <x v="3"/>
    <x v="3"/>
    <n v="10"/>
    <n v="20"/>
    <n v="200"/>
  </r>
  <r>
    <s v="ORD005"/>
    <s v="CUST005"/>
    <x v="4"/>
    <x v="0"/>
    <x v="0"/>
    <n v="3"/>
    <n v="600"/>
    <n v="1800"/>
  </r>
  <r>
    <s v="ORD006"/>
    <s v="CUST006"/>
    <x v="5"/>
    <x v="1"/>
    <x v="1"/>
    <n v="2"/>
    <n v="700"/>
    <n v="1400"/>
  </r>
  <r>
    <s v="ORD007"/>
    <s v="CUST007"/>
    <x v="6"/>
    <x v="2"/>
    <x v="2"/>
    <n v="4"/>
    <n v="45"/>
    <n v="180"/>
  </r>
  <r>
    <s v="ORD008"/>
    <s v="CUST008"/>
    <x v="7"/>
    <x v="3"/>
    <x v="3"/>
    <n v="8"/>
    <n v="25"/>
    <n v="200"/>
  </r>
  <r>
    <s v="ORD009"/>
    <s v="CUST009"/>
    <x v="0"/>
    <x v="0"/>
    <x v="0"/>
    <n v="1"/>
    <n v="1000"/>
    <n v="1000"/>
  </r>
  <r>
    <s v="ORD010"/>
    <s v="CUST010"/>
    <x v="1"/>
    <x v="1"/>
    <x v="1"/>
    <n v="2"/>
    <n v="750"/>
    <n v="1500"/>
  </r>
  <r>
    <s v="ORD011"/>
    <s v="CUST011"/>
    <x v="2"/>
    <x v="2"/>
    <x v="2"/>
    <n v="2"/>
    <n v="500"/>
    <n v="1000"/>
  </r>
  <r>
    <s v="ORD012"/>
    <s v="CUST012"/>
    <x v="3"/>
    <x v="3"/>
    <x v="3"/>
    <n v="1"/>
    <n v="800"/>
    <n v="800"/>
  </r>
  <r>
    <s v="ORD013"/>
    <s v="CUST013"/>
    <x v="4"/>
    <x v="0"/>
    <x v="0"/>
    <n v="5"/>
    <n v="50"/>
    <n v="250"/>
  </r>
  <r>
    <s v="ORD014"/>
    <s v="CUST014"/>
    <x v="5"/>
    <x v="1"/>
    <x v="1"/>
    <n v="10"/>
    <n v="20"/>
    <n v="200"/>
  </r>
  <r>
    <s v="ORD015"/>
    <s v="CUST015"/>
    <x v="6"/>
    <x v="2"/>
    <x v="2"/>
    <n v="3"/>
    <n v="600"/>
    <n v="1800"/>
  </r>
  <r>
    <s v="ORD016"/>
    <s v="CUST016"/>
    <x v="7"/>
    <x v="3"/>
    <x v="3"/>
    <n v="2"/>
    <n v="700"/>
    <n v="1400"/>
  </r>
  <r>
    <s v="ORD017"/>
    <s v="CUST017"/>
    <x v="0"/>
    <x v="0"/>
    <x v="0"/>
    <n v="4"/>
    <n v="45"/>
    <n v="180"/>
  </r>
  <r>
    <s v="ORD018"/>
    <s v="CUST018"/>
    <x v="1"/>
    <x v="1"/>
    <x v="1"/>
    <n v="8"/>
    <n v="25"/>
    <n v="200"/>
  </r>
  <r>
    <s v="ORD019"/>
    <s v="CUST019"/>
    <x v="2"/>
    <x v="2"/>
    <x v="2"/>
    <n v="1"/>
    <n v="1000"/>
    <n v="1000"/>
  </r>
  <r>
    <s v="ORD020"/>
    <s v="CUST020"/>
    <x v="3"/>
    <x v="3"/>
    <x v="3"/>
    <n v="2"/>
    <n v="750"/>
    <n v="1500"/>
  </r>
  <r>
    <s v="ORD021"/>
    <s v="CUST021"/>
    <x v="4"/>
    <x v="0"/>
    <x v="0"/>
    <n v="2"/>
    <n v="500"/>
    <n v="1000"/>
  </r>
  <r>
    <s v="ORD022"/>
    <s v="CUST022"/>
    <x v="5"/>
    <x v="1"/>
    <x v="1"/>
    <n v="1"/>
    <n v="800"/>
    <n v="800"/>
  </r>
  <r>
    <s v="ORD023"/>
    <s v="CUST023"/>
    <x v="6"/>
    <x v="2"/>
    <x v="2"/>
    <n v="5"/>
    <n v="50"/>
    <n v="250"/>
  </r>
  <r>
    <s v="ORD024"/>
    <s v="CUST024"/>
    <x v="7"/>
    <x v="3"/>
    <x v="3"/>
    <n v="10"/>
    <n v="20"/>
    <n v="200"/>
  </r>
  <r>
    <s v="ORD025"/>
    <s v="CUST025"/>
    <x v="0"/>
    <x v="0"/>
    <x v="0"/>
    <n v="3"/>
    <n v="600"/>
    <n v="1800"/>
  </r>
  <r>
    <s v="ORD026"/>
    <s v="CUST026"/>
    <x v="1"/>
    <x v="1"/>
    <x v="1"/>
    <n v="2"/>
    <n v="700"/>
    <n v="1400"/>
  </r>
  <r>
    <s v="ORD027"/>
    <s v="CUST027"/>
    <x v="2"/>
    <x v="2"/>
    <x v="2"/>
    <n v="4"/>
    <n v="45"/>
    <n v="180"/>
  </r>
  <r>
    <s v="ORD028"/>
    <s v="CUST028"/>
    <x v="3"/>
    <x v="3"/>
    <x v="3"/>
    <n v="8"/>
    <n v="25"/>
    <n v="200"/>
  </r>
  <r>
    <s v="ORD029"/>
    <s v="CUST029"/>
    <x v="4"/>
    <x v="0"/>
    <x v="0"/>
    <n v="1"/>
    <n v="1000"/>
    <n v="1000"/>
  </r>
  <r>
    <s v="ORD030"/>
    <s v="CUST030"/>
    <x v="5"/>
    <x v="1"/>
    <x v="1"/>
    <n v="2"/>
    <n v="750"/>
    <n v="1500"/>
  </r>
  <r>
    <s v="ORD031"/>
    <s v="CUST031"/>
    <x v="6"/>
    <x v="2"/>
    <x v="2"/>
    <n v="2"/>
    <n v="500"/>
    <n v="1000"/>
  </r>
  <r>
    <s v="ORD032"/>
    <s v="CUST032"/>
    <x v="7"/>
    <x v="3"/>
    <x v="3"/>
    <n v="1"/>
    <n v="800"/>
    <n v="800"/>
  </r>
  <r>
    <s v="ORD033"/>
    <s v="CUST033"/>
    <x v="0"/>
    <x v="0"/>
    <x v="0"/>
    <n v="5"/>
    <n v="50"/>
    <n v="250"/>
  </r>
  <r>
    <s v="ORD034"/>
    <s v="CUST034"/>
    <x v="1"/>
    <x v="1"/>
    <x v="1"/>
    <n v="10"/>
    <n v="20"/>
    <n v="200"/>
  </r>
  <r>
    <s v="ORD035"/>
    <s v="CUST035"/>
    <x v="2"/>
    <x v="2"/>
    <x v="2"/>
    <n v="3"/>
    <n v="600"/>
    <n v="1800"/>
  </r>
  <r>
    <s v="ORD036"/>
    <s v="CUST036"/>
    <x v="3"/>
    <x v="3"/>
    <x v="3"/>
    <n v="2"/>
    <n v="700"/>
    <n v="1400"/>
  </r>
  <r>
    <s v="ORD037"/>
    <s v="CUST037"/>
    <x v="4"/>
    <x v="0"/>
    <x v="0"/>
    <n v="4"/>
    <n v="45"/>
    <n v="180"/>
  </r>
  <r>
    <s v="ORD038"/>
    <s v="CUST038"/>
    <x v="5"/>
    <x v="1"/>
    <x v="1"/>
    <n v="8"/>
    <n v="25"/>
    <n v="200"/>
  </r>
  <r>
    <s v="ORD039"/>
    <s v="CUST039"/>
    <x v="6"/>
    <x v="2"/>
    <x v="2"/>
    <n v="1"/>
    <n v="1000"/>
    <n v="1000"/>
  </r>
  <r>
    <s v="ORD040"/>
    <s v="CUST040"/>
    <x v="7"/>
    <x v="3"/>
    <x v="3"/>
    <n v="2"/>
    <n v="750"/>
    <n v="1500"/>
  </r>
  <r>
    <s v="ORD041"/>
    <s v="CUST041"/>
    <x v="0"/>
    <x v="0"/>
    <x v="0"/>
    <n v="2"/>
    <n v="500"/>
    <n v="1000"/>
  </r>
  <r>
    <s v="ORD042"/>
    <s v="CUST042"/>
    <x v="1"/>
    <x v="1"/>
    <x v="1"/>
    <n v="1"/>
    <n v="800"/>
    <n v="800"/>
  </r>
  <r>
    <s v="ORD043"/>
    <s v="CUST043"/>
    <x v="2"/>
    <x v="2"/>
    <x v="2"/>
    <n v="5"/>
    <n v="50"/>
    <n v="250"/>
  </r>
  <r>
    <s v="ORD044"/>
    <s v="CUST044"/>
    <x v="3"/>
    <x v="3"/>
    <x v="3"/>
    <n v="10"/>
    <n v="20"/>
    <n v="200"/>
  </r>
  <r>
    <s v="ORD045"/>
    <s v="CUST045"/>
    <x v="4"/>
    <x v="0"/>
    <x v="0"/>
    <n v="3"/>
    <n v="600"/>
    <n v="1800"/>
  </r>
  <r>
    <s v="ORD046"/>
    <s v="CUST046"/>
    <x v="5"/>
    <x v="1"/>
    <x v="1"/>
    <n v="2"/>
    <n v="700"/>
    <n v="1400"/>
  </r>
  <r>
    <s v="ORD047"/>
    <s v="CUST047"/>
    <x v="6"/>
    <x v="2"/>
    <x v="2"/>
    <n v="4"/>
    <n v="45"/>
    <n v="180"/>
  </r>
  <r>
    <s v="ORD048"/>
    <s v="CUST048"/>
    <x v="7"/>
    <x v="3"/>
    <x v="3"/>
    <n v="8"/>
    <n v="25"/>
    <n v="200"/>
  </r>
  <r>
    <s v="ORD049"/>
    <s v="CUST049"/>
    <x v="0"/>
    <x v="0"/>
    <x v="0"/>
    <n v="1"/>
    <n v="1000"/>
    <n v="1000"/>
  </r>
  <r>
    <s v="ORD050"/>
    <s v="CUST050"/>
    <x v="1"/>
    <x v="1"/>
    <x v="1"/>
    <n v="2"/>
    <n v="750"/>
    <n v="1500"/>
  </r>
  <r>
    <s v="ORD051"/>
    <s v="CUST051"/>
    <x v="2"/>
    <x v="2"/>
    <x v="2"/>
    <n v="2"/>
    <n v="500"/>
    <n v="1000"/>
  </r>
  <r>
    <s v="ORD052"/>
    <s v="CUST052"/>
    <x v="3"/>
    <x v="3"/>
    <x v="3"/>
    <n v="1"/>
    <n v="800"/>
    <n v="800"/>
  </r>
  <r>
    <s v="ORD053"/>
    <s v="CUST053"/>
    <x v="4"/>
    <x v="0"/>
    <x v="0"/>
    <n v="5"/>
    <n v="50"/>
    <n v="250"/>
  </r>
  <r>
    <s v="ORD054"/>
    <s v="CUST054"/>
    <x v="5"/>
    <x v="1"/>
    <x v="1"/>
    <n v="10"/>
    <n v="20"/>
    <n v="200"/>
  </r>
  <r>
    <s v="ORD055"/>
    <s v="CUST055"/>
    <x v="6"/>
    <x v="2"/>
    <x v="2"/>
    <n v="3"/>
    <n v="600"/>
    <n v="1800"/>
  </r>
  <r>
    <s v="ORD056"/>
    <s v="CUST056"/>
    <x v="7"/>
    <x v="3"/>
    <x v="3"/>
    <n v="2"/>
    <n v="700"/>
    <n v="1400"/>
  </r>
  <r>
    <s v="ORD057"/>
    <s v="CUST057"/>
    <x v="0"/>
    <x v="0"/>
    <x v="0"/>
    <n v="4"/>
    <n v="45"/>
    <n v="180"/>
  </r>
  <r>
    <s v="ORD058"/>
    <s v="CUST058"/>
    <x v="1"/>
    <x v="1"/>
    <x v="1"/>
    <n v="8"/>
    <n v="25"/>
    <n v="200"/>
  </r>
  <r>
    <s v="ORD059"/>
    <s v="CUST059"/>
    <x v="2"/>
    <x v="2"/>
    <x v="2"/>
    <n v="1"/>
    <n v="1000"/>
    <n v="1000"/>
  </r>
  <r>
    <s v="ORD060"/>
    <s v="CUST060"/>
    <x v="3"/>
    <x v="3"/>
    <x v="3"/>
    <n v="2"/>
    <n v="750"/>
    <n v="1500"/>
  </r>
  <r>
    <s v="ORD061"/>
    <s v="CUST061"/>
    <x v="4"/>
    <x v="0"/>
    <x v="0"/>
    <n v="2"/>
    <n v="500"/>
    <n v="1000"/>
  </r>
  <r>
    <s v="ORD062"/>
    <s v="CUST062"/>
    <x v="5"/>
    <x v="1"/>
    <x v="1"/>
    <n v="1"/>
    <n v="800"/>
    <n v="800"/>
  </r>
  <r>
    <s v="ORD063"/>
    <s v="CUST063"/>
    <x v="6"/>
    <x v="2"/>
    <x v="2"/>
    <n v="5"/>
    <n v="50"/>
    <n v="250"/>
  </r>
  <r>
    <s v="ORD064"/>
    <s v="CUST064"/>
    <x v="7"/>
    <x v="3"/>
    <x v="3"/>
    <n v="10"/>
    <n v="20"/>
    <n v="200"/>
  </r>
  <r>
    <s v="ORD065"/>
    <s v="CUST065"/>
    <x v="0"/>
    <x v="0"/>
    <x v="0"/>
    <n v="3"/>
    <n v="600"/>
    <n v="1800"/>
  </r>
  <r>
    <s v="ORD066"/>
    <s v="CUST066"/>
    <x v="1"/>
    <x v="1"/>
    <x v="1"/>
    <n v="2"/>
    <n v="700"/>
    <n v="1400"/>
  </r>
  <r>
    <s v="ORD067"/>
    <s v="CUST067"/>
    <x v="2"/>
    <x v="2"/>
    <x v="2"/>
    <n v="4"/>
    <n v="45"/>
    <n v="180"/>
  </r>
  <r>
    <s v="ORD068"/>
    <s v="CUST068"/>
    <x v="3"/>
    <x v="3"/>
    <x v="3"/>
    <n v="8"/>
    <n v="25"/>
    <n v="200"/>
  </r>
  <r>
    <s v="ORD069"/>
    <s v="CUST069"/>
    <x v="4"/>
    <x v="0"/>
    <x v="0"/>
    <n v="1"/>
    <n v="1000"/>
    <n v="1000"/>
  </r>
  <r>
    <s v="ORD070"/>
    <s v="CUST070"/>
    <x v="5"/>
    <x v="1"/>
    <x v="1"/>
    <n v="2"/>
    <n v="750"/>
    <n v="1500"/>
  </r>
  <r>
    <s v="ORD071"/>
    <s v="CUST071"/>
    <x v="6"/>
    <x v="2"/>
    <x v="2"/>
    <n v="2"/>
    <n v="500"/>
    <n v="1000"/>
  </r>
  <r>
    <s v="ORD072"/>
    <s v="CUST072"/>
    <x v="7"/>
    <x v="3"/>
    <x v="3"/>
    <n v="1"/>
    <n v="800"/>
    <n v="800"/>
  </r>
  <r>
    <s v="ORD073"/>
    <s v="CUST073"/>
    <x v="0"/>
    <x v="0"/>
    <x v="0"/>
    <n v="5"/>
    <n v="50"/>
    <n v="250"/>
  </r>
  <r>
    <s v="ORD074"/>
    <s v="CUST074"/>
    <x v="1"/>
    <x v="1"/>
    <x v="1"/>
    <n v="10"/>
    <n v="20"/>
    <n v="200"/>
  </r>
  <r>
    <s v="ORD075"/>
    <s v="CUST075"/>
    <x v="2"/>
    <x v="2"/>
    <x v="2"/>
    <n v="3"/>
    <n v="600"/>
    <n v="1800"/>
  </r>
  <r>
    <s v="ORD076"/>
    <s v="CUST076"/>
    <x v="3"/>
    <x v="3"/>
    <x v="3"/>
    <n v="2"/>
    <n v="700"/>
    <n v="1400"/>
  </r>
  <r>
    <s v="ORD077"/>
    <s v="CUST077"/>
    <x v="4"/>
    <x v="0"/>
    <x v="0"/>
    <n v="4"/>
    <n v="45"/>
    <n v="180"/>
  </r>
  <r>
    <s v="ORD078"/>
    <s v="CUST078"/>
    <x v="5"/>
    <x v="1"/>
    <x v="1"/>
    <n v="8"/>
    <n v="25"/>
    <n v="200"/>
  </r>
  <r>
    <s v="ORD079"/>
    <s v="CUST079"/>
    <x v="6"/>
    <x v="2"/>
    <x v="2"/>
    <n v="1"/>
    <n v="1000"/>
    <n v="1000"/>
  </r>
  <r>
    <s v="ORD080"/>
    <s v="CUST080"/>
    <x v="7"/>
    <x v="3"/>
    <x v="3"/>
    <n v="2"/>
    <n v="750"/>
    <n v="1500"/>
  </r>
  <r>
    <s v="ORD081"/>
    <s v="CUST081"/>
    <x v="0"/>
    <x v="0"/>
    <x v="0"/>
    <n v="2"/>
    <n v="500"/>
    <n v="1000"/>
  </r>
  <r>
    <s v="ORD082"/>
    <s v="CUST082"/>
    <x v="1"/>
    <x v="1"/>
    <x v="1"/>
    <n v="1"/>
    <n v="800"/>
    <n v="800"/>
  </r>
  <r>
    <s v="ORD083"/>
    <s v="CUST083"/>
    <x v="2"/>
    <x v="2"/>
    <x v="2"/>
    <n v="5"/>
    <n v="50"/>
    <n v="250"/>
  </r>
  <r>
    <s v="ORD084"/>
    <s v="CUST084"/>
    <x v="3"/>
    <x v="3"/>
    <x v="3"/>
    <n v="10"/>
    <n v="20"/>
    <n v="200"/>
  </r>
  <r>
    <s v="ORD085"/>
    <s v="CUST085"/>
    <x v="4"/>
    <x v="0"/>
    <x v="0"/>
    <n v="3"/>
    <n v="600"/>
    <n v="1800"/>
  </r>
  <r>
    <s v="ORD086"/>
    <s v="CUST086"/>
    <x v="5"/>
    <x v="1"/>
    <x v="1"/>
    <n v="2"/>
    <n v="700"/>
    <n v="1400"/>
  </r>
  <r>
    <s v="ORD087"/>
    <s v="CUST087"/>
    <x v="6"/>
    <x v="2"/>
    <x v="2"/>
    <n v="4"/>
    <n v="45"/>
    <n v="180"/>
  </r>
  <r>
    <s v="ORD088"/>
    <s v="CUST088"/>
    <x v="7"/>
    <x v="3"/>
    <x v="3"/>
    <n v="8"/>
    <n v="25"/>
    <n v="200"/>
  </r>
  <r>
    <s v="ORD089"/>
    <s v="CUST089"/>
    <x v="0"/>
    <x v="0"/>
    <x v="0"/>
    <n v="1"/>
    <n v="1000"/>
    <n v="1000"/>
  </r>
  <r>
    <s v="ORD090"/>
    <s v="CUST090"/>
    <x v="1"/>
    <x v="1"/>
    <x v="1"/>
    <n v="2"/>
    <n v="750"/>
    <n v="1500"/>
  </r>
  <r>
    <s v="ORD091"/>
    <s v="CUST091"/>
    <x v="2"/>
    <x v="2"/>
    <x v="2"/>
    <n v="2"/>
    <n v="500"/>
    <n v="1000"/>
  </r>
  <r>
    <s v="ORD092"/>
    <s v="CUST092"/>
    <x v="3"/>
    <x v="3"/>
    <x v="3"/>
    <n v="1"/>
    <n v="800"/>
    <n v="800"/>
  </r>
  <r>
    <s v="ORD093"/>
    <s v="CUST093"/>
    <x v="4"/>
    <x v="0"/>
    <x v="0"/>
    <n v="5"/>
    <n v="50"/>
    <n v="250"/>
  </r>
  <r>
    <s v="ORD094"/>
    <s v="CUST094"/>
    <x v="5"/>
    <x v="1"/>
    <x v="1"/>
    <n v="10"/>
    <n v="20"/>
    <n v="200"/>
  </r>
  <r>
    <s v="ORD095"/>
    <s v="CUST095"/>
    <x v="6"/>
    <x v="2"/>
    <x v="2"/>
    <n v="3"/>
    <n v="600"/>
    <n v="1800"/>
  </r>
  <r>
    <s v="ORD096"/>
    <s v="CUST096"/>
    <x v="7"/>
    <x v="3"/>
    <x v="3"/>
    <n v="2"/>
    <n v="700"/>
    <n v="1400"/>
  </r>
  <r>
    <s v="ORD097"/>
    <s v="CUST097"/>
    <x v="0"/>
    <x v="0"/>
    <x v="0"/>
    <n v="4"/>
    <n v="45"/>
    <n v="180"/>
  </r>
  <r>
    <s v="ORD098"/>
    <s v="CUST098"/>
    <x v="1"/>
    <x v="1"/>
    <x v="1"/>
    <n v="8"/>
    <n v="25"/>
    <n v="200"/>
  </r>
  <r>
    <s v="ORD099"/>
    <s v="CUST099"/>
    <x v="2"/>
    <x v="2"/>
    <x v="2"/>
    <n v="1"/>
    <n v="1000"/>
    <n v="1000"/>
  </r>
  <r>
    <s v="ORD100"/>
    <s v="CUST100"/>
    <x v="3"/>
    <x v="3"/>
    <x v="3"/>
    <n v="2"/>
    <n v="750"/>
    <n v="1500"/>
  </r>
  <r>
    <s v="ORD101"/>
    <s v="CUST101"/>
    <x v="4"/>
    <x v="0"/>
    <x v="0"/>
    <n v="2"/>
    <n v="500"/>
    <n v="1000"/>
  </r>
  <r>
    <s v="ORD102"/>
    <s v="CUST102"/>
    <x v="5"/>
    <x v="1"/>
    <x v="1"/>
    <n v="1"/>
    <n v="800"/>
    <n v="800"/>
  </r>
  <r>
    <s v="ORD103"/>
    <s v="CUST103"/>
    <x v="6"/>
    <x v="2"/>
    <x v="2"/>
    <n v="5"/>
    <n v="50"/>
    <n v="250"/>
  </r>
  <r>
    <s v="ORD104"/>
    <s v="CUST104"/>
    <x v="7"/>
    <x v="3"/>
    <x v="3"/>
    <n v="10"/>
    <n v="20"/>
    <n v="200"/>
  </r>
  <r>
    <s v="ORD105"/>
    <s v="CUST105"/>
    <x v="0"/>
    <x v="0"/>
    <x v="0"/>
    <n v="3"/>
    <n v="600"/>
    <n v="1800"/>
  </r>
  <r>
    <s v="ORD106"/>
    <s v="CUST106"/>
    <x v="1"/>
    <x v="1"/>
    <x v="1"/>
    <n v="2"/>
    <n v="700"/>
    <n v="1400"/>
  </r>
  <r>
    <s v="ORD107"/>
    <s v="CUST107"/>
    <x v="2"/>
    <x v="2"/>
    <x v="2"/>
    <n v="4"/>
    <n v="45"/>
    <n v="180"/>
  </r>
  <r>
    <s v="ORD108"/>
    <s v="CUST108"/>
    <x v="3"/>
    <x v="3"/>
    <x v="3"/>
    <n v="8"/>
    <n v="25"/>
    <n v="200"/>
  </r>
  <r>
    <s v="ORD109"/>
    <s v="CUST109"/>
    <x v="4"/>
    <x v="0"/>
    <x v="0"/>
    <n v="1"/>
    <n v="1000"/>
    <n v="1000"/>
  </r>
  <r>
    <s v="ORD110"/>
    <s v="CUST110"/>
    <x v="5"/>
    <x v="1"/>
    <x v="1"/>
    <n v="2"/>
    <n v="750"/>
    <n v="1500"/>
  </r>
  <r>
    <s v="ORD111"/>
    <s v="CUST111"/>
    <x v="6"/>
    <x v="2"/>
    <x v="2"/>
    <n v="2"/>
    <n v="500"/>
    <n v="1000"/>
  </r>
  <r>
    <s v="ORD112"/>
    <s v="CUST112"/>
    <x v="7"/>
    <x v="3"/>
    <x v="3"/>
    <n v="1"/>
    <n v="800"/>
    <n v="800"/>
  </r>
  <r>
    <s v="ORD113"/>
    <s v="CUST113"/>
    <x v="0"/>
    <x v="0"/>
    <x v="0"/>
    <n v="5"/>
    <n v="50"/>
    <n v="250"/>
  </r>
  <r>
    <s v="ORD114"/>
    <s v="CUST114"/>
    <x v="1"/>
    <x v="1"/>
    <x v="1"/>
    <n v="10"/>
    <n v="20"/>
    <n v="200"/>
  </r>
  <r>
    <s v="ORD115"/>
    <s v="CUST115"/>
    <x v="2"/>
    <x v="2"/>
    <x v="2"/>
    <n v="3"/>
    <n v="600"/>
    <n v="1800"/>
  </r>
  <r>
    <s v="ORD116"/>
    <s v="CUST116"/>
    <x v="3"/>
    <x v="3"/>
    <x v="3"/>
    <n v="2"/>
    <n v="700"/>
    <n v="1400"/>
  </r>
  <r>
    <s v="ORD117"/>
    <s v="CUST117"/>
    <x v="4"/>
    <x v="0"/>
    <x v="0"/>
    <n v="4"/>
    <n v="45"/>
    <n v="180"/>
  </r>
  <r>
    <s v="ORD118"/>
    <s v="CUST118"/>
    <x v="5"/>
    <x v="1"/>
    <x v="1"/>
    <n v="8"/>
    <n v="25"/>
    <n v="200"/>
  </r>
  <r>
    <s v="ORD119"/>
    <s v="CUST119"/>
    <x v="6"/>
    <x v="2"/>
    <x v="2"/>
    <n v="1"/>
    <n v="1000"/>
    <n v="1000"/>
  </r>
  <r>
    <s v="ORD120"/>
    <s v="CUST120"/>
    <x v="7"/>
    <x v="3"/>
    <x v="3"/>
    <n v="2"/>
    <n v="750"/>
    <n v="1500"/>
  </r>
  <r>
    <s v="ORD121"/>
    <s v="CUST121"/>
    <x v="0"/>
    <x v="0"/>
    <x v="0"/>
    <n v="2"/>
    <n v="500"/>
    <n v="1000"/>
  </r>
  <r>
    <s v="ORD122"/>
    <s v="CUST122"/>
    <x v="1"/>
    <x v="1"/>
    <x v="1"/>
    <n v="1"/>
    <n v="800"/>
    <n v="800"/>
  </r>
  <r>
    <s v="ORD123"/>
    <s v="CUST123"/>
    <x v="2"/>
    <x v="2"/>
    <x v="2"/>
    <n v="5"/>
    <n v="50"/>
    <n v="250"/>
  </r>
  <r>
    <s v="ORD124"/>
    <s v="CUST124"/>
    <x v="3"/>
    <x v="3"/>
    <x v="3"/>
    <n v="10"/>
    <n v="20"/>
    <n v="200"/>
  </r>
  <r>
    <s v="ORD125"/>
    <s v="CUST125"/>
    <x v="4"/>
    <x v="0"/>
    <x v="0"/>
    <n v="3"/>
    <n v="600"/>
    <n v="1800"/>
  </r>
  <r>
    <s v="ORD126"/>
    <s v="CUST126"/>
    <x v="5"/>
    <x v="1"/>
    <x v="1"/>
    <n v="2"/>
    <n v="700"/>
    <n v="1400"/>
  </r>
  <r>
    <s v="ORD127"/>
    <s v="CUST127"/>
    <x v="6"/>
    <x v="2"/>
    <x v="2"/>
    <n v="4"/>
    <n v="45"/>
    <n v="180"/>
  </r>
  <r>
    <s v="ORD128"/>
    <s v="CUST128"/>
    <x v="7"/>
    <x v="3"/>
    <x v="3"/>
    <n v="8"/>
    <n v="25"/>
    <n v="200"/>
  </r>
  <r>
    <s v="ORD129"/>
    <s v="CUST129"/>
    <x v="0"/>
    <x v="0"/>
    <x v="0"/>
    <n v="1"/>
    <n v="1000"/>
    <n v="1000"/>
  </r>
  <r>
    <s v="ORD130"/>
    <s v="CUST130"/>
    <x v="1"/>
    <x v="1"/>
    <x v="1"/>
    <n v="2"/>
    <n v="750"/>
    <n v="1500"/>
  </r>
  <r>
    <s v="ORD131"/>
    <s v="CUST131"/>
    <x v="2"/>
    <x v="2"/>
    <x v="2"/>
    <n v="2"/>
    <n v="500"/>
    <n v="1000"/>
  </r>
  <r>
    <s v="ORD132"/>
    <s v="CUST132"/>
    <x v="3"/>
    <x v="3"/>
    <x v="3"/>
    <n v="1"/>
    <n v="800"/>
    <n v="800"/>
  </r>
  <r>
    <s v="ORD133"/>
    <s v="CUST133"/>
    <x v="4"/>
    <x v="0"/>
    <x v="0"/>
    <n v="5"/>
    <n v="50"/>
    <n v="250"/>
  </r>
  <r>
    <s v="ORD134"/>
    <s v="CUST134"/>
    <x v="5"/>
    <x v="1"/>
    <x v="1"/>
    <n v="10"/>
    <n v="20"/>
    <n v="200"/>
  </r>
  <r>
    <s v="ORD135"/>
    <s v="CUST135"/>
    <x v="6"/>
    <x v="2"/>
    <x v="2"/>
    <n v="3"/>
    <n v="600"/>
    <n v="1800"/>
  </r>
  <r>
    <s v="ORD136"/>
    <s v="CUST136"/>
    <x v="7"/>
    <x v="3"/>
    <x v="3"/>
    <n v="2"/>
    <n v="700"/>
    <n v="1400"/>
  </r>
  <r>
    <s v="ORD137"/>
    <s v="CUST137"/>
    <x v="0"/>
    <x v="0"/>
    <x v="0"/>
    <n v="4"/>
    <n v="45"/>
    <n v="180"/>
  </r>
  <r>
    <s v="ORD138"/>
    <s v="CUST138"/>
    <x v="1"/>
    <x v="1"/>
    <x v="1"/>
    <n v="8"/>
    <n v="25"/>
    <n v="200"/>
  </r>
  <r>
    <s v="ORD139"/>
    <s v="CUST139"/>
    <x v="2"/>
    <x v="2"/>
    <x v="2"/>
    <n v="1"/>
    <n v="1000"/>
    <n v="1000"/>
  </r>
  <r>
    <s v="ORD140"/>
    <s v="CUST140"/>
    <x v="3"/>
    <x v="3"/>
    <x v="3"/>
    <n v="2"/>
    <n v="750"/>
    <n v="1500"/>
  </r>
  <r>
    <s v="ORD141"/>
    <s v="CUST141"/>
    <x v="4"/>
    <x v="0"/>
    <x v="0"/>
    <n v="2"/>
    <n v="500"/>
    <n v="1000"/>
  </r>
  <r>
    <s v="ORD142"/>
    <s v="CUST142"/>
    <x v="5"/>
    <x v="1"/>
    <x v="1"/>
    <n v="1"/>
    <n v="800"/>
    <n v="800"/>
  </r>
  <r>
    <s v="ORD143"/>
    <s v="CUST143"/>
    <x v="6"/>
    <x v="2"/>
    <x v="2"/>
    <n v="5"/>
    <n v="50"/>
    <n v="250"/>
  </r>
  <r>
    <s v="ORD144"/>
    <s v="CUST144"/>
    <x v="7"/>
    <x v="3"/>
    <x v="3"/>
    <n v="10"/>
    <n v="20"/>
    <n v="200"/>
  </r>
  <r>
    <s v="ORD145"/>
    <s v="CUST145"/>
    <x v="0"/>
    <x v="0"/>
    <x v="0"/>
    <n v="3"/>
    <n v="600"/>
    <n v="1800"/>
  </r>
  <r>
    <s v="ORD146"/>
    <s v="CUST146"/>
    <x v="1"/>
    <x v="1"/>
    <x v="1"/>
    <n v="2"/>
    <n v="700"/>
    <n v="1400"/>
  </r>
  <r>
    <s v="ORD147"/>
    <s v="CUST147"/>
    <x v="2"/>
    <x v="2"/>
    <x v="2"/>
    <n v="4"/>
    <n v="45"/>
    <n v="180"/>
  </r>
  <r>
    <s v="ORD148"/>
    <s v="CUST148"/>
    <x v="3"/>
    <x v="3"/>
    <x v="3"/>
    <n v="8"/>
    <n v="25"/>
    <n v="200"/>
  </r>
  <r>
    <s v="ORD149"/>
    <s v="CUST149"/>
    <x v="4"/>
    <x v="0"/>
    <x v="0"/>
    <n v="1"/>
    <n v="1000"/>
    <n v="1000"/>
  </r>
  <r>
    <s v="ORD150"/>
    <s v="CUST150"/>
    <x v="5"/>
    <x v="1"/>
    <x v="1"/>
    <n v="2"/>
    <n v="750"/>
    <n v="1500"/>
  </r>
  <r>
    <s v="ORD151"/>
    <s v="CUST151"/>
    <x v="6"/>
    <x v="2"/>
    <x v="2"/>
    <n v="2"/>
    <n v="500"/>
    <n v="1000"/>
  </r>
  <r>
    <s v="ORD152"/>
    <s v="CUST152"/>
    <x v="7"/>
    <x v="3"/>
    <x v="3"/>
    <n v="1"/>
    <n v="800"/>
    <n v="800"/>
  </r>
  <r>
    <s v="ORD153"/>
    <s v="CUST153"/>
    <x v="0"/>
    <x v="0"/>
    <x v="0"/>
    <n v="5"/>
    <n v="50"/>
    <n v="250"/>
  </r>
  <r>
    <s v="ORD154"/>
    <s v="CUST154"/>
    <x v="1"/>
    <x v="1"/>
    <x v="1"/>
    <n v="10"/>
    <n v="20"/>
    <n v="200"/>
  </r>
  <r>
    <s v="ORD155"/>
    <s v="CUST155"/>
    <x v="2"/>
    <x v="2"/>
    <x v="2"/>
    <n v="3"/>
    <n v="600"/>
    <n v="1800"/>
  </r>
  <r>
    <s v="ORD156"/>
    <s v="CUST156"/>
    <x v="3"/>
    <x v="3"/>
    <x v="3"/>
    <n v="2"/>
    <n v="700"/>
    <n v="1400"/>
  </r>
  <r>
    <s v="ORD157"/>
    <s v="CUST157"/>
    <x v="4"/>
    <x v="0"/>
    <x v="0"/>
    <n v="4"/>
    <n v="45"/>
    <n v="180"/>
  </r>
  <r>
    <s v="ORD158"/>
    <s v="CUST158"/>
    <x v="5"/>
    <x v="1"/>
    <x v="1"/>
    <n v="8"/>
    <n v="25"/>
    <n v="200"/>
  </r>
  <r>
    <s v="ORD159"/>
    <s v="CUST159"/>
    <x v="6"/>
    <x v="2"/>
    <x v="2"/>
    <n v="1"/>
    <n v="1000"/>
    <n v="1000"/>
  </r>
  <r>
    <s v="ORD160"/>
    <s v="CUST160"/>
    <x v="7"/>
    <x v="3"/>
    <x v="3"/>
    <n v="2"/>
    <n v="750"/>
    <n v="1500"/>
  </r>
  <r>
    <s v="ORD161"/>
    <s v="CUST161"/>
    <x v="0"/>
    <x v="0"/>
    <x v="0"/>
    <n v="2"/>
    <n v="500"/>
    <n v="1000"/>
  </r>
  <r>
    <s v="ORD162"/>
    <s v="CUST162"/>
    <x v="1"/>
    <x v="1"/>
    <x v="1"/>
    <n v="1"/>
    <n v="800"/>
    <n v="800"/>
  </r>
  <r>
    <s v="ORD163"/>
    <s v="CUST163"/>
    <x v="2"/>
    <x v="2"/>
    <x v="2"/>
    <n v="5"/>
    <n v="50"/>
    <n v="250"/>
  </r>
  <r>
    <s v="ORD164"/>
    <s v="CUST164"/>
    <x v="3"/>
    <x v="3"/>
    <x v="3"/>
    <n v="10"/>
    <n v="20"/>
    <n v="200"/>
  </r>
  <r>
    <s v="ORD165"/>
    <s v="CUST165"/>
    <x v="4"/>
    <x v="0"/>
    <x v="0"/>
    <n v="3"/>
    <n v="600"/>
    <n v="1800"/>
  </r>
  <r>
    <s v="ORD166"/>
    <s v="CUST166"/>
    <x v="5"/>
    <x v="1"/>
    <x v="1"/>
    <n v="2"/>
    <n v="700"/>
    <n v="1400"/>
  </r>
  <r>
    <s v="ORD167"/>
    <s v="CUST167"/>
    <x v="6"/>
    <x v="2"/>
    <x v="2"/>
    <n v="4"/>
    <n v="45"/>
    <n v="180"/>
  </r>
  <r>
    <s v="ORD168"/>
    <s v="CUST168"/>
    <x v="7"/>
    <x v="3"/>
    <x v="3"/>
    <n v="8"/>
    <n v="25"/>
    <n v="200"/>
  </r>
  <r>
    <s v="ORD169"/>
    <s v="CUST169"/>
    <x v="0"/>
    <x v="0"/>
    <x v="0"/>
    <n v="1"/>
    <n v="1000"/>
    <n v="1000"/>
  </r>
  <r>
    <s v="ORD170"/>
    <s v="CUST170"/>
    <x v="1"/>
    <x v="1"/>
    <x v="1"/>
    <n v="2"/>
    <n v="750"/>
    <n v="1500"/>
  </r>
  <r>
    <s v="ORD171"/>
    <s v="CUST171"/>
    <x v="2"/>
    <x v="2"/>
    <x v="2"/>
    <n v="2"/>
    <n v="500"/>
    <n v="1000"/>
  </r>
  <r>
    <s v="ORD172"/>
    <s v="CUST172"/>
    <x v="3"/>
    <x v="3"/>
    <x v="3"/>
    <n v="1"/>
    <n v="800"/>
    <n v="800"/>
  </r>
  <r>
    <s v="ORD173"/>
    <s v="CUST173"/>
    <x v="4"/>
    <x v="0"/>
    <x v="0"/>
    <n v="5"/>
    <n v="50"/>
    <n v="250"/>
  </r>
  <r>
    <s v="ORD174"/>
    <s v="CUST174"/>
    <x v="5"/>
    <x v="1"/>
    <x v="1"/>
    <n v="10"/>
    <n v="20"/>
    <n v="200"/>
  </r>
  <r>
    <s v="ORD175"/>
    <s v="CUST175"/>
    <x v="6"/>
    <x v="2"/>
    <x v="2"/>
    <n v="3"/>
    <n v="600"/>
    <n v="1800"/>
  </r>
  <r>
    <s v="ORD176"/>
    <s v="CUST176"/>
    <x v="7"/>
    <x v="3"/>
    <x v="3"/>
    <n v="2"/>
    <n v="700"/>
    <n v="1400"/>
  </r>
  <r>
    <s v="ORD177"/>
    <s v="CUST177"/>
    <x v="0"/>
    <x v="0"/>
    <x v="0"/>
    <n v="4"/>
    <n v="45"/>
    <n v="180"/>
  </r>
  <r>
    <s v="ORD178"/>
    <s v="CUST178"/>
    <x v="1"/>
    <x v="1"/>
    <x v="1"/>
    <n v="8"/>
    <n v="25"/>
    <n v="200"/>
  </r>
  <r>
    <s v="ORD179"/>
    <s v="CUST179"/>
    <x v="2"/>
    <x v="2"/>
    <x v="2"/>
    <n v="1"/>
    <n v="1000"/>
    <n v="1000"/>
  </r>
  <r>
    <s v="ORD180"/>
    <s v="CUST180"/>
    <x v="3"/>
    <x v="3"/>
    <x v="3"/>
    <n v="2"/>
    <n v="750"/>
    <n v="1500"/>
  </r>
  <r>
    <s v="ORD181"/>
    <s v="CUST181"/>
    <x v="4"/>
    <x v="0"/>
    <x v="0"/>
    <n v="2"/>
    <n v="500"/>
    <n v="1000"/>
  </r>
  <r>
    <s v="ORD182"/>
    <s v="CUST182"/>
    <x v="5"/>
    <x v="1"/>
    <x v="1"/>
    <n v="1"/>
    <n v="800"/>
    <n v="800"/>
  </r>
  <r>
    <s v="ORD183"/>
    <s v="CUST183"/>
    <x v="6"/>
    <x v="2"/>
    <x v="2"/>
    <n v="5"/>
    <n v="50"/>
    <n v="250"/>
  </r>
  <r>
    <s v="ORD184"/>
    <s v="CUST184"/>
    <x v="7"/>
    <x v="3"/>
    <x v="3"/>
    <n v="10"/>
    <n v="20"/>
    <n v="200"/>
  </r>
  <r>
    <s v="ORD185"/>
    <s v="CUST185"/>
    <x v="0"/>
    <x v="0"/>
    <x v="0"/>
    <n v="3"/>
    <n v="600"/>
    <n v="1800"/>
  </r>
  <r>
    <s v="ORD186"/>
    <s v="CUST186"/>
    <x v="1"/>
    <x v="1"/>
    <x v="1"/>
    <n v="2"/>
    <n v="700"/>
    <n v="1400"/>
  </r>
  <r>
    <s v="ORD187"/>
    <s v="CUST187"/>
    <x v="2"/>
    <x v="2"/>
    <x v="2"/>
    <n v="4"/>
    <n v="45"/>
    <n v="180"/>
  </r>
  <r>
    <s v="ORD188"/>
    <s v="CUST188"/>
    <x v="3"/>
    <x v="3"/>
    <x v="3"/>
    <n v="8"/>
    <n v="25"/>
    <n v="200"/>
  </r>
  <r>
    <s v="ORD189"/>
    <s v="CUST189"/>
    <x v="4"/>
    <x v="0"/>
    <x v="0"/>
    <n v="1"/>
    <n v="1000"/>
    <n v="1000"/>
  </r>
  <r>
    <s v="ORD190"/>
    <s v="CUST190"/>
    <x v="5"/>
    <x v="1"/>
    <x v="1"/>
    <n v="2"/>
    <n v="750"/>
    <n v="1500"/>
  </r>
  <r>
    <s v="ORD191"/>
    <s v="CUST191"/>
    <x v="6"/>
    <x v="2"/>
    <x v="2"/>
    <n v="2"/>
    <n v="500"/>
    <n v="1000"/>
  </r>
  <r>
    <s v="ORD192"/>
    <s v="CUST192"/>
    <x v="7"/>
    <x v="3"/>
    <x v="3"/>
    <n v="1"/>
    <n v="800"/>
    <n v="800"/>
  </r>
  <r>
    <s v="ORD193"/>
    <s v="CUST193"/>
    <x v="0"/>
    <x v="0"/>
    <x v="0"/>
    <n v="5"/>
    <n v="50"/>
    <n v="250"/>
  </r>
  <r>
    <s v="ORD194"/>
    <s v="CUST194"/>
    <x v="1"/>
    <x v="1"/>
    <x v="1"/>
    <n v="10"/>
    <n v="20"/>
    <n v="200"/>
  </r>
  <r>
    <s v="ORD195"/>
    <s v="CUST195"/>
    <x v="2"/>
    <x v="2"/>
    <x v="2"/>
    <n v="3"/>
    <n v="600"/>
    <n v="1800"/>
  </r>
  <r>
    <s v="ORD196"/>
    <s v="CUST196"/>
    <x v="3"/>
    <x v="3"/>
    <x v="3"/>
    <n v="2"/>
    <n v="700"/>
    <n v="1400"/>
  </r>
  <r>
    <s v="ORD197"/>
    <s v="CUST197"/>
    <x v="4"/>
    <x v="0"/>
    <x v="0"/>
    <n v="4"/>
    <n v="45"/>
    <n v="180"/>
  </r>
  <r>
    <s v="ORD198"/>
    <s v="CUST198"/>
    <x v="5"/>
    <x v="1"/>
    <x v="1"/>
    <n v="8"/>
    <n v="25"/>
    <n v="200"/>
  </r>
  <r>
    <s v="ORD199"/>
    <s v="CUST199"/>
    <x v="6"/>
    <x v="2"/>
    <x v="2"/>
    <n v="1"/>
    <n v="1000"/>
    <n v="1000"/>
  </r>
  <r>
    <s v="ORD200"/>
    <s v="CUST200"/>
    <x v="7"/>
    <x v="3"/>
    <x v="3"/>
    <n v="2"/>
    <n v="750"/>
    <n v="1500"/>
  </r>
  <r>
    <s v="ORD201"/>
    <s v="CUST201"/>
    <x v="0"/>
    <x v="0"/>
    <x v="0"/>
    <n v="2"/>
    <n v="500"/>
    <n v="1000"/>
  </r>
  <r>
    <s v="ORD202"/>
    <s v="CUST202"/>
    <x v="1"/>
    <x v="1"/>
    <x v="1"/>
    <n v="1"/>
    <n v="800"/>
    <n v="800"/>
  </r>
  <r>
    <s v="ORD203"/>
    <s v="CUST203"/>
    <x v="2"/>
    <x v="2"/>
    <x v="2"/>
    <n v="5"/>
    <n v="50"/>
    <n v="250"/>
  </r>
  <r>
    <s v="ORD204"/>
    <s v="CUST204"/>
    <x v="3"/>
    <x v="3"/>
    <x v="3"/>
    <n v="10"/>
    <n v="20"/>
    <n v="200"/>
  </r>
  <r>
    <s v="ORD205"/>
    <s v="CUST205"/>
    <x v="4"/>
    <x v="0"/>
    <x v="0"/>
    <n v="3"/>
    <n v="600"/>
    <n v="1800"/>
  </r>
  <r>
    <s v="ORD206"/>
    <s v="CUST206"/>
    <x v="5"/>
    <x v="1"/>
    <x v="1"/>
    <n v="2"/>
    <n v="700"/>
    <n v="1400"/>
  </r>
  <r>
    <s v="ORD207"/>
    <s v="CUST207"/>
    <x v="6"/>
    <x v="2"/>
    <x v="2"/>
    <n v="4"/>
    <n v="45"/>
    <n v="180"/>
  </r>
  <r>
    <s v="ORD208"/>
    <s v="CUST208"/>
    <x v="7"/>
    <x v="3"/>
    <x v="3"/>
    <n v="8"/>
    <n v="25"/>
    <n v="200"/>
  </r>
  <r>
    <s v="ORD209"/>
    <s v="CUST209"/>
    <x v="0"/>
    <x v="0"/>
    <x v="0"/>
    <n v="1"/>
    <n v="1000"/>
    <n v="1000"/>
  </r>
  <r>
    <s v="ORD210"/>
    <s v="CUST210"/>
    <x v="1"/>
    <x v="1"/>
    <x v="1"/>
    <n v="2"/>
    <n v="750"/>
    <n v="1500"/>
  </r>
  <r>
    <s v="ORD211"/>
    <s v="CUST211"/>
    <x v="2"/>
    <x v="2"/>
    <x v="2"/>
    <n v="2"/>
    <n v="500"/>
    <n v="1000"/>
  </r>
  <r>
    <s v="ORD212"/>
    <s v="CUST212"/>
    <x v="3"/>
    <x v="3"/>
    <x v="3"/>
    <n v="1"/>
    <n v="800"/>
    <n v="800"/>
  </r>
  <r>
    <s v="ORD213"/>
    <s v="CUST213"/>
    <x v="4"/>
    <x v="0"/>
    <x v="0"/>
    <n v="5"/>
    <n v="50"/>
    <n v="250"/>
  </r>
  <r>
    <s v="ORD214"/>
    <s v="CUST214"/>
    <x v="5"/>
    <x v="1"/>
    <x v="1"/>
    <n v="10"/>
    <n v="20"/>
    <n v="200"/>
  </r>
  <r>
    <s v="ORD215"/>
    <s v="CUST215"/>
    <x v="6"/>
    <x v="2"/>
    <x v="2"/>
    <n v="3"/>
    <n v="600"/>
    <n v="1800"/>
  </r>
  <r>
    <s v="ORD216"/>
    <s v="CUST216"/>
    <x v="7"/>
    <x v="3"/>
    <x v="3"/>
    <n v="2"/>
    <n v="700"/>
    <n v="1400"/>
  </r>
  <r>
    <s v="ORD217"/>
    <s v="CUST217"/>
    <x v="0"/>
    <x v="0"/>
    <x v="0"/>
    <n v="4"/>
    <n v="45"/>
    <n v="180"/>
  </r>
  <r>
    <s v="ORD218"/>
    <s v="CUST218"/>
    <x v="1"/>
    <x v="1"/>
    <x v="1"/>
    <n v="8"/>
    <n v="25"/>
    <n v="200"/>
  </r>
  <r>
    <s v="ORD219"/>
    <s v="CUST219"/>
    <x v="2"/>
    <x v="2"/>
    <x v="2"/>
    <n v="1"/>
    <n v="1000"/>
    <n v="1000"/>
  </r>
  <r>
    <s v="ORD220"/>
    <s v="CUST220"/>
    <x v="3"/>
    <x v="3"/>
    <x v="3"/>
    <n v="2"/>
    <n v="750"/>
    <n v="1500"/>
  </r>
  <r>
    <s v="ORD221"/>
    <s v="CUST221"/>
    <x v="4"/>
    <x v="0"/>
    <x v="0"/>
    <n v="2"/>
    <n v="500"/>
    <n v="1000"/>
  </r>
  <r>
    <s v="ORD222"/>
    <s v="CUST222"/>
    <x v="5"/>
    <x v="1"/>
    <x v="1"/>
    <n v="1"/>
    <n v="800"/>
    <n v="800"/>
  </r>
  <r>
    <s v="ORD223"/>
    <s v="CUST223"/>
    <x v="6"/>
    <x v="2"/>
    <x v="2"/>
    <n v="5"/>
    <n v="50"/>
    <n v="250"/>
  </r>
  <r>
    <s v="ORD224"/>
    <s v="CUST224"/>
    <x v="7"/>
    <x v="3"/>
    <x v="3"/>
    <n v="10"/>
    <n v="20"/>
    <n v="200"/>
  </r>
  <r>
    <s v="ORD225"/>
    <s v="CUST225"/>
    <x v="0"/>
    <x v="0"/>
    <x v="0"/>
    <n v="3"/>
    <n v="600"/>
    <n v="1800"/>
  </r>
  <r>
    <s v="ORD226"/>
    <s v="CUST226"/>
    <x v="1"/>
    <x v="1"/>
    <x v="1"/>
    <n v="2"/>
    <n v="700"/>
    <n v="1400"/>
  </r>
  <r>
    <s v="ORD227"/>
    <s v="CUST227"/>
    <x v="2"/>
    <x v="2"/>
    <x v="2"/>
    <n v="4"/>
    <n v="45"/>
    <n v="180"/>
  </r>
  <r>
    <s v="ORD228"/>
    <s v="CUST228"/>
    <x v="3"/>
    <x v="3"/>
    <x v="3"/>
    <n v="8"/>
    <n v="25"/>
    <n v="200"/>
  </r>
  <r>
    <s v="ORD229"/>
    <s v="CUST229"/>
    <x v="4"/>
    <x v="0"/>
    <x v="0"/>
    <n v="1"/>
    <n v="10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0BEAD-BC5E-47D9-938F-F05B968B52FE}"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E19:J25" firstHeaderRow="1" firstDataRow="2" firstDataCol="1"/>
  <pivotFields count="8">
    <pivotField showAll="0"/>
    <pivotField showAll="0"/>
    <pivotField showAll="0"/>
    <pivotField axis="axisRow" showAll="0">
      <items count="5">
        <item x="2"/>
        <item x="0"/>
        <item x="1"/>
        <item x="3"/>
        <item t="default"/>
      </items>
    </pivotField>
    <pivotField axis="axisCol" showAll="0">
      <items count="5">
        <item x="2"/>
        <item x="0"/>
        <item x="3"/>
        <item x="1"/>
        <item t="default"/>
      </items>
    </pivotField>
    <pivotField dataField="1" showAll="0"/>
    <pivotField numFmtId="44" showAll="0"/>
    <pivotField numFmtId="44" showAll="0"/>
  </pivotFields>
  <rowFields count="1">
    <field x="3"/>
  </rowFields>
  <rowItems count="5">
    <i>
      <x/>
    </i>
    <i>
      <x v="1"/>
    </i>
    <i>
      <x v="2"/>
    </i>
    <i>
      <x v="3"/>
    </i>
    <i t="grand">
      <x/>
    </i>
  </rowItems>
  <colFields count="1">
    <field x="4"/>
  </colFields>
  <colItems count="5">
    <i>
      <x/>
    </i>
    <i>
      <x v="1"/>
    </i>
    <i>
      <x v="2"/>
    </i>
    <i>
      <x v="3"/>
    </i>
    <i t="grand">
      <x/>
    </i>
  </colItems>
  <dataFields count="1">
    <dataField name="TOP PRODUCT BY REGION  " fld="5" baseField="0" baseItem="0"/>
  </dataFields>
  <chartFormats count="5">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77E0AD-C997-4527-833D-01360E0311D0}"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H10:I15" firstHeaderRow="1" firstDataRow="1" firstDataCol="1"/>
  <pivotFields count="8">
    <pivotField showAll="0"/>
    <pivotField showAll="0"/>
    <pivotField showAll="0"/>
    <pivotField showAll="0">
      <items count="5">
        <item x="2"/>
        <item x="0"/>
        <item x="1"/>
        <item x="3"/>
        <item t="default"/>
      </items>
    </pivotField>
    <pivotField axis="axisRow" showAll="0">
      <items count="5">
        <item x="2"/>
        <item x="0"/>
        <item x="3"/>
        <item x="1"/>
        <item t="default"/>
      </items>
    </pivotField>
    <pivotField showAll="0"/>
    <pivotField dataField="1" numFmtId="44" showAll="0"/>
    <pivotField numFmtId="44" showAll="0"/>
  </pivotFields>
  <rowFields count="1">
    <field x="4"/>
  </rowFields>
  <rowItems count="5">
    <i>
      <x/>
    </i>
    <i>
      <x v="1"/>
    </i>
    <i>
      <x v="2"/>
    </i>
    <i>
      <x v="3"/>
    </i>
    <i t="grand">
      <x/>
    </i>
  </rowItems>
  <colItems count="1">
    <i/>
  </colItems>
  <dataFields count="1">
    <dataField name="TOTAL UNIT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610653-D02E-4030-8AB0-9EB2B3265621}"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E2:F7" firstHeaderRow="1" firstDataRow="1" firstDataCol="1"/>
  <pivotFields count="8">
    <pivotField showAll="0"/>
    <pivotField showAll="0"/>
    <pivotField showAll="0"/>
    <pivotField showAll="0">
      <items count="5">
        <item x="2"/>
        <item x="0"/>
        <item x="1"/>
        <item x="3"/>
        <item t="default"/>
      </items>
    </pivotField>
    <pivotField axis="axisRow" showAll="0">
      <items count="5">
        <item x="2"/>
        <item x="0"/>
        <item x="3"/>
        <item x="1"/>
        <item t="default"/>
      </items>
    </pivotField>
    <pivotField showAll="0"/>
    <pivotField numFmtId="44" showAll="0"/>
    <pivotField dataField="1" numFmtId="44" showAll="0"/>
  </pivotFields>
  <rowFields count="1">
    <field x="4"/>
  </rowFields>
  <rowItems count="5">
    <i>
      <x/>
    </i>
    <i>
      <x v="1"/>
    </i>
    <i>
      <x v="2"/>
    </i>
    <i>
      <x v="3"/>
    </i>
    <i t="grand">
      <x/>
    </i>
  </rowItems>
  <colItems count="1">
    <i/>
  </colItems>
  <dataFields count="1">
    <dataField name="TOTAL REVENUE" fld="7" baseField="0" baseItem="0" numFmtId="44"/>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1EBF92-D0F3-42A2-9DFA-CD36046C13B5}" name="PivotTable4" cacheId="1" applyNumberFormats="0" applyBorderFormats="0" applyFontFormats="0" applyPatternFormats="0" applyAlignmentFormats="0" applyWidthHeightFormats="1" dataCaption="Values" grandTotalCaption="GRAND TOTAL" updatedVersion="7" minRefreshableVersion="3" useAutoFormatting="1" itemPrintTitles="1" createdVersion="7" indent="0" outline="1" outlineData="1" multipleFieldFilters="0" chartFormat="4" rowHeaderCaption="REGION">
  <location ref="A2:B7" firstHeaderRow="1" firstDataRow="1" firstDataCol="1"/>
  <pivotFields count="8">
    <pivotField showAll="0"/>
    <pivotField showAll="0"/>
    <pivotField showAll="0"/>
    <pivotField axis="axisRow" showAll="0">
      <items count="5">
        <item x="2"/>
        <item x="0"/>
        <item x="1"/>
        <item x="3"/>
        <item t="default"/>
      </items>
    </pivotField>
    <pivotField showAll="0">
      <items count="5">
        <item x="2"/>
        <item x="0"/>
        <item x="3"/>
        <item x="1"/>
        <item t="default"/>
      </items>
    </pivotField>
    <pivotField dataField="1" showAll="0"/>
    <pivotField numFmtId="44" showAll="0"/>
    <pivotField numFmtId="44" showAll="0"/>
  </pivotFields>
  <rowFields count="1">
    <field x="3"/>
  </rowFields>
  <rowItems count="5">
    <i>
      <x/>
    </i>
    <i>
      <x v="1"/>
    </i>
    <i>
      <x v="2"/>
    </i>
    <i>
      <x v="3"/>
    </i>
    <i t="grand">
      <x/>
    </i>
  </rowItems>
  <colItems count="1">
    <i/>
  </colItems>
  <dataFields count="1">
    <dataField name="TOTAL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4FBD49-C4F7-4913-AED7-BBE67DA21C57}"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H2:I7" firstHeaderRow="1" firstDataRow="1" firstDataCol="1"/>
  <pivotFields count="8">
    <pivotField showAll="0"/>
    <pivotField showAll="0"/>
    <pivotField showAll="0"/>
    <pivotField axis="axisRow" showAll="0">
      <items count="5">
        <item x="2"/>
        <item x="0"/>
        <item x="1"/>
        <item x="3"/>
        <item t="default"/>
      </items>
    </pivotField>
    <pivotField showAll="0">
      <items count="5">
        <item x="2"/>
        <item x="0"/>
        <item x="3"/>
        <item x="1"/>
        <item t="default"/>
      </items>
    </pivotField>
    <pivotField showAll="0"/>
    <pivotField numFmtId="44" showAll="0"/>
    <pivotField dataField="1" numFmtId="44" showAll="0"/>
  </pivotFields>
  <rowFields count="1">
    <field x="3"/>
  </rowFields>
  <rowItems count="5">
    <i>
      <x/>
    </i>
    <i>
      <x v="1"/>
    </i>
    <i>
      <x v="2"/>
    </i>
    <i>
      <x v="3"/>
    </i>
    <i t="grand">
      <x/>
    </i>
  </rowItems>
  <colItems count="1">
    <i/>
  </colItems>
  <dataFields count="1">
    <dataField name="TOTAL REVENUE" fld="7" baseField="0" baseItem="0" numFmtId="4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2F5476-493B-4B7A-A281-F6E54F12F9C4}"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E10:F15" firstHeaderRow="1" firstDataRow="1" firstDataCol="1"/>
  <pivotFields count="8">
    <pivotField dataField="1" showAll="0"/>
    <pivotField showAll="0"/>
    <pivotField showAll="0"/>
    <pivotField axis="axisRow" showAll="0">
      <items count="5">
        <item x="2"/>
        <item x="0"/>
        <item x="1"/>
        <item x="3"/>
        <item t="default"/>
      </items>
    </pivotField>
    <pivotField showAll="0">
      <items count="5">
        <item x="2"/>
        <item x="0"/>
        <item x="3"/>
        <item x="1"/>
        <item t="default"/>
      </items>
    </pivotField>
    <pivotField showAll="0"/>
    <pivotField numFmtId="44" showAll="0"/>
    <pivotField numFmtId="44" showAll="0"/>
  </pivotFields>
  <rowFields count="1">
    <field x="3"/>
  </rowFields>
  <rowItems count="5">
    <i>
      <x/>
    </i>
    <i>
      <x v="1"/>
    </i>
    <i>
      <x v="2"/>
    </i>
    <i>
      <x v="3"/>
    </i>
    <i t="grand">
      <x/>
    </i>
  </rowItems>
  <colItems count="1">
    <i/>
  </colItems>
  <dataFields count="1">
    <dataField name="COUNT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C8BD66-E5BF-49FB-84AB-2352556A4A27}"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CONSTUMER NAME ">
  <location ref="A10:B19" firstHeaderRow="1" firstDataRow="1" firstDataCol="1"/>
  <pivotFields count="8">
    <pivotField showAll="0"/>
    <pivotField showAll="0"/>
    <pivotField axis="axisRow" showAll="0">
      <items count="9">
        <item x="6"/>
        <item x="2"/>
        <item x="5"/>
        <item x="0"/>
        <item x="7"/>
        <item x="1"/>
        <item x="4"/>
        <item x="3"/>
        <item t="default"/>
      </items>
    </pivotField>
    <pivotField showAll="0">
      <items count="5">
        <item x="2"/>
        <item x="0"/>
        <item x="1"/>
        <item x="3"/>
        <item t="default"/>
      </items>
    </pivotField>
    <pivotField showAll="0">
      <items count="5">
        <item x="2"/>
        <item x="0"/>
        <item x="3"/>
        <item x="1"/>
        <item t="default"/>
      </items>
    </pivotField>
    <pivotField dataField="1" showAll="0"/>
    <pivotField numFmtId="44" showAll="0"/>
    <pivotField numFmtId="44" showAll="0"/>
  </pivotFields>
  <rowFields count="1">
    <field x="2"/>
  </rowFields>
  <rowItems count="9">
    <i>
      <x/>
    </i>
    <i>
      <x v="1"/>
    </i>
    <i>
      <x v="2"/>
    </i>
    <i>
      <x v="3"/>
    </i>
    <i>
      <x v="4"/>
    </i>
    <i>
      <x v="5"/>
    </i>
    <i>
      <x v="6"/>
    </i>
    <i>
      <x v="7"/>
    </i>
    <i t="grand">
      <x/>
    </i>
  </rowItems>
  <colItems count="1">
    <i/>
  </colItems>
  <dataFields count="1">
    <dataField name="TOTAL QUANTITY" fld="5" baseField="0" baseItem="0"/>
  </dataFields>
  <chartFormats count="5">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E19F12-2067-44C1-BC4C-077583706F77}"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Customer_name">
  <location ref="E28:F37" firstHeaderRow="1" firstDataRow="1" firstDataCol="1"/>
  <pivotFields count="8">
    <pivotField showAll="0"/>
    <pivotField showAll="0"/>
    <pivotField axis="axisRow" showAll="0" sortType="descending">
      <items count="9">
        <item x="6"/>
        <item x="2"/>
        <item x="5"/>
        <item x="0"/>
        <item x="7"/>
        <item x="1"/>
        <item x="4"/>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5">
        <item x="2"/>
        <item x="0"/>
        <item x="3"/>
        <item x="1"/>
        <item t="default"/>
      </items>
    </pivotField>
    <pivotField showAll="0"/>
    <pivotField numFmtId="44" showAll="0"/>
    <pivotField dataField="1" numFmtId="44" showAll="0"/>
  </pivotFields>
  <rowFields count="1">
    <field x="2"/>
  </rowFields>
  <rowItems count="9">
    <i>
      <x v="6"/>
    </i>
    <i>
      <x v="3"/>
    </i>
    <i>
      <x v="5"/>
    </i>
    <i>
      <x v="1"/>
    </i>
    <i>
      <x/>
    </i>
    <i>
      <x v="7"/>
    </i>
    <i>
      <x v="2"/>
    </i>
    <i>
      <x v="4"/>
    </i>
    <i t="grand">
      <x/>
    </i>
  </rowItems>
  <colItems count="1">
    <i/>
  </colItems>
  <dataFields count="1">
    <dataField name="Sum of revenue" fld="7" baseField="0" baseItem="0" numFmtId="44"/>
  </dataFields>
  <formats count="1">
    <format dxfId="2">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FD7038-C8AC-4CE7-9743-53F65CD215FF}"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PRODUCT">
  <location ref="A28:C33" firstHeaderRow="0" firstDataRow="1" firstDataCol="1"/>
  <pivotFields count="8">
    <pivotField showAll="0"/>
    <pivotField showAll="0"/>
    <pivotField showAll="0"/>
    <pivotField showAll="0">
      <items count="5">
        <item x="2"/>
        <item x="0"/>
        <item x="1"/>
        <item x="3"/>
        <item t="default"/>
      </items>
    </pivotField>
    <pivotField axis="axisRow" showAll="0">
      <items count="5">
        <item x="2"/>
        <item x="0"/>
        <item x="3"/>
        <item x="1"/>
        <item t="default"/>
      </items>
    </pivotField>
    <pivotField showAll="0"/>
    <pivotField dataField="1" numFmtId="44" showAll="0"/>
    <pivotField dataField="1" numFmtId="44" showAll="0"/>
  </pivotFields>
  <rowFields count="1">
    <field x="4"/>
  </rowFields>
  <rowItems count="5">
    <i>
      <x/>
    </i>
    <i>
      <x v="1"/>
    </i>
    <i>
      <x v="2"/>
    </i>
    <i>
      <x v="3"/>
    </i>
    <i t="grand">
      <x/>
    </i>
  </rowItems>
  <colFields count="1">
    <field x="-2"/>
  </colFields>
  <colItems count="2">
    <i>
      <x/>
    </i>
    <i i="1">
      <x v="1"/>
    </i>
  </colItems>
  <dataFields count="2">
    <dataField name="Average of Unit_Price" fld="6" subtotal="average" baseField="4" baseItem="1"/>
    <dataField name="PERCENTAGE" fld="7" baseField="4" baseItem="0" numFmtId="9"/>
  </dataFields>
  <formats count="6">
    <format dxfId="8">
      <pivotArea outline="0" fieldPosition="0">
        <references count="1">
          <reference field="4294967294" count="1">
            <x v="1"/>
          </reference>
        </references>
      </pivotArea>
    </format>
    <format dxfId="7">
      <pivotArea outline="0" collapsedLevelsAreSubtotals="1" fieldPosition="0"/>
    </format>
    <format dxfId="6">
      <pivotArea dataOnly="0" labelOnly="1" outline="0" axis="axisValues" fieldPosition="0"/>
    </format>
    <format dxfId="5">
      <pivotArea collapsedLevelsAreSubtotals="1" fieldPosition="0">
        <references count="2">
          <reference field="4294967294" count="1" selected="0">
            <x v="1"/>
          </reference>
          <reference field="4" count="0"/>
        </references>
      </pivotArea>
    </format>
    <format dxfId="4">
      <pivotArea outline="0" collapsedLevelsAreSubtotals="1" fieldPosition="0">
        <references count="1">
          <reference field="4294967294" count="1" selected="0">
            <x v="1"/>
          </reference>
        </references>
      </pivotArea>
    </format>
    <format dxfId="3">
      <pivotArea dataOnly="0" labelOnly="1" outline="0" fieldPosition="0">
        <references count="1">
          <reference field="4294967294" count="1">
            <x v="1"/>
          </reference>
        </references>
      </pivotArea>
    </format>
  </formats>
  <chartFormats count="20">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4" count="1" selected="0">
            <x v="0"/>
          </reference>
        </references>
      </pivotArea>
    </chartFormat>
    <chartFormat chart="10" format="5">
      <pivotArea type="data" outline="0" fieldPosition="0">
        <references count="2">
          <reference field="4294967294" count="1" selected="0">
            <x v="0"/>
          </reference>
          <reference field="4" count="1" selected="0">
            <x v="1"/>
          </reference>
        </references>
      </pivotArea>
    </chartFormat>
    <chartFormat chart="10" format="6">
      <pivotArea type="data" outline="0" fieldPosition="0">
        <references count="2">
          <reference field="4294967294" count="1" selected="0">
            <x v="0"/>
          </reference>
          <reference field="4" count="1" selected="0">
            <x v="2"/>
          </reference>
        </references>
      </pivotArea>
    </chartFormat>
    <chartFormat chart="10" format="7">
      <pivotArea type="data" outline="0" fieldPosition="0">
        <references count="2">
          <reference field="4294967294" count="1" selected="0">
            <x v="0"/>
          </reference>
          <reference field="4" count="1" selected="0">
            <x v="3"/>
          </reference>
        </references>
      </pivotArea>
    </chartFormat>
    <chartFormat chart="10" format="8" series="1">
      <pivotArea type="data" outline="0" fieldPosition="0">
        <references count="1">
          <reference field="4294967294" count="1" selected="0">
            <x v="1"/>
          </reference>
        </references>
      </pivotArea>
    </chartFormat>
    <chartFormat chart="10" format="9">
      <pivotArea type="data" outline="0" fieldPosition="0">
        <references count="2">
          <reference field="4294967294" count="1" selected="0">
            <x v="1"/>
          </reference>
          <reference field="4" count="1" selected="0">
            <x v="0"/>
          </reference>
        </references>
      </pivotArea>
    </chartFormat>
    <chartFormat chart="10" format="10">
      <pivotArea type="data" outline="0" fieldPosition="0">
        <references count="2">
          <reference field="4294967294" count="1" selected="0">
            <x v="1"/>
          </reference>
          <reference field="4" count="1" selected="0">
            <x v="1"/>
          </reference>
        </references>
      </pivotArea>
    </chartFormat>
    <chartFormat chart="10" format="11">
      <pivotArea type="data" outline="0" fieldPosition="0">
        <references count="2">
          <reference field="4294967294" count="1" selected="0">
            <x v="1"/>
          </reference>
          <reference field="4" count="1" selected="0">
            <x v="2"/>
          </reference>
        </references>
      </pivotArea>
    </chartFormat>
    <chartFormat chart="10" format="12">
      <pivotArea type="data" outline="0" fieldPosition="0">
        <references count="2">
          <reference field="4294967294" count="1" selected="0">
            <x v="1"/>
          </reference>
          <reference field="4" count="1" selected="0">
            <x v="3"/>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4" count="1" selected="0">
            <x v="0"/>
          </reference>
        </references>
      </pivotArea>
    </chartFormat>
    <chartFormat chart="11" format="15">
      <pivotArea type="data" outline="0" fieldPosition="0">
        <references count="2">
          <reference field="4294967294" count="1" selected="0">
            <x v="0"/>
          </reference>
          <reference field="4" count="1" selected="0">
            <x v="1"/>
          </reference>
        </references>
      </pivotArea>
    </chartFormat>
    <chartFormat chart="11" format="16">
      <pivotArea type="data" outline="0" fieldPosition="0">
        <references count="2">
          <reference field="4294967294" count="1" selected="0">
            <x v="0"/>
          </reference>
          <reference field="4" count="1" selected="0">
            <x v="2"/>
          </reference>
        </references>
      </pivotArea>
    </chartFormat>
    <chartFormat chart="11" format="17">
      <pivotArea type="data" outline="0" fieldPosition="0">
        <references count="2">
          <reference field="4294967294" count="1" selected="0">
            <x v="0"/>
          </reference>
          <reference field="4" count="1" selected="0">
            <x v="3"/>
          </reference>
        </references>
      </pivotArea>
    </chartFormat>
    <chartFormat chart="11" format="18" series="1">
      <pivotArea type="data" outline="0" fieldPosition="0">
        <references count="1">
          <reference field="4294967294" count="1" selected="0">
            <x v="1"/>
          </reference>
        </references>
      </pivotArea>
    </chartFormat>
    <chartFormat chart="11" format="19">
      <pivotArea type="data" outline="0" fieldPosition="0">
        <references count="2">
          <reference field="4294967294" count="1" selected="0">
            <x v="1"/>
          </reference>
          <reference field="4" count="1" selected="0">
            <x v="0"/>
          </reference>
        </references>
      </pivotArea>
    </chartFormat>
    <chartFormat chart="11" format="20">
      <pivotArea type="data" outline="0" fieldPosition="0">
        <references count="2">
          <reference field="4294967294" count="1" selected="0">
            <x v="1"/>
          </reference>
          <reference field="4" count="1" selected="0">
            <x v="1"/>
          </reference>
        </references>
      </pivotArea>
    </chartFormat>
    <chartFormat chart="11" format="21">
      <pivotArea type="data" outline="0" fieldPosition="0">
        <references count="2">
          <reference field="4294967294" count="1" selected="0">
            <x v="1"/>
          </reference>
          <reference field="4" count="1" selected="0">
            <x v="2"/>
          </reference>
        </references>
      </pivotArea>
    </chartFormat>
    <chartFormat chart="11" format="22">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333296-CB65-476C-A771-7CA31F765D60}" sourceName="Region">
  <pivotTables>
    <pivotTable tabId="5" name="PivotTable4"/>
    <pivotTable tabId="5" name="PivotTable10"/>
    <pivotTable tabId="5" name="PivotTable11"/>
    <pivotTable tabId="5" name="PivotTable12"/>
    <pivotTable tabId="5" name="PivotTable5"/>
    <pivotTable tabId="5" name="PivotTable6"/>
    <pivotTable tabId="5" name="PivotTable7"/>
    <pivotTable tabId="5" name="PivotTable8"/>
    <pivotTable tabId="5" name="PivotTable9"/>
  </pivotTables>
  <data>
    <tabular pivotCacheId="46368415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D21E53F-C24A-4AAA-9D3E-FA7BEB15B236}" sourceName=" Product ">
  <pivotTables>
    <pivotTable tabId="5" name="PivotTable4"/>
    <pivotTable tabId="5" name="PivotTable10"/>
    <pivotTable tabId="5" name="PivotTable11"/>
    <pivotTable tabId="5" name="PivotTable12"/>
    <pivotTable tabId="5" name="PivotTable5"/>
    <pivotTable tabId="5" name="PivotTable6"/>
    <pivotTable tabId="5" name="PivotTable7"/>
    <pivotTable tabId="5" name="PivotTable8"/>
    <pivotTable tabId="5" name="PivotTable9"/>
  </pivotTables>
  <data>
    <tabular pivotCacheId="463684159">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C9F0F5-6CB8-4836-B64F-1977B3E26569}" cache="Slicer_Region" caption="Region" rowHeight="241300"/>
  <slicer name=" Product " xr10:uid="{57D6C1DC-651B-4098-865A-394A2A9EF376}" cache="Slicer_Product" caption=" Product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752605-C7EF-4B8C-B387-FAC99FB1C17C}" name="Table1" displayName="Table1" ref="A1:H230" totalsRowShown="0" headerRowDxfId="11">
  <autoFilter ref="A1:H230" xr:uid="{38752605-C7EF-4B8C-B387-FAC99FB1C17C}"/>
  <tableColumns count="8">
    <tableColumn id="1" xr3:uid="{99C6B460-970A-41DB-965E-91B432B846B5}" name="Order_ID "/>
    <tableColumn id="2" xr3:uid="{FD071D53-2F87-457F-880D-C8B775348FF2}" name="Customer_ID "/>
    <tableColumn id="3" xr3:uid="{2389F2B5-4F21-48D8-9FB5-08BA7E13631B}" name="Customer_Name "/>
    <tableColumn id="4" xr3:uid="{03394D9C-05CA-4797-B3DB-7CFA230D9F01}" name="Region"/>
    <tableColumn id="5" xr3:uid="{388FA1FD-BC78-4368-8BB6-C5DB949F4AD0}" name=" Product "/>
    <tableColumn id="6" xr3:uid="{39A83BB5-0633-4556-A747-D7B6B425DBBA}" name="Quantity "/>
    <tableColumn id="7" xr3:uid="{7A1075C3-E8CB-47CE-A9DA-CD4ABCCED375}" name="Unit_Price" dataDxfId="10" dataCellStyle="Currency"/>
    <tableColumn id="8" xr3:uid="{318A4FEA-44B2-4C6B-8F11-A9BF868F1ADF}" name="revenue" dataDxfId="9">
      <calculatedColumnFormula>(F2)*(G2)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17585B-3536-4B9A-A58D-68183C51E22D}" name="Table2" displayName="Table2" ref="A1:H230" totalsRowShown="0">
  <autoFilter ref="A1:H230" xr:uid="{0F17585B-3536-4B9A-A58D-68183C51E22D}"/>
  <tableColumns count="8">
    <tableColumn id="1" xr3:uid="{FC6CAA1F-3D49-40E3-843A-6A4699887A0C}" name="Order_ID "/>
    <tableColumn id="2" xr3:uid="{706357B2-C778-4EAB-9CB6-5DDE9732F973}" name="Customer_ID "/>
    <tableColumn id="3" xr3:uid="{9A9EE2CF-7E87-46EB-B546-5BCAE6A41E7F}" name="Customer_Name "/>
    <tableColumn id="4" xr3:uid="{4C23FA96-3182-4083-9C0A-A2B3685E54CC}" name="Region"/>
    <tableColumn id="5" xr3:uid="{71BEB82B-39E2-4340-8534-22C3384E38F0}" name=" Product "/>
    <tableColumn id="6" xr3:uid="{6CF37ECF-4F30-4614-9927-D6FB23BA70F7}" name="Quantity "/>
    <tableColumn id="7" xr3:uid="{41A08D26-2371-4AE2-BD0E-1E1AEE055E66}" name="Unit_Price"/>
    <tableColumn id="8" xr3:uid="{608E7DDA-46C8-411F-B728-1EE595A02CE4}" name="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87A127-7FBB-4F77-8B44-B62CD4C97285}" name="Table3" displayName="Table3" ref="A1:H230" totalsRowShown="0">
  <autoFilter ref="A1:H230" xr:uid="{6B87A127-7FBB-4F77-8B44-B62CD4C97285}"/>
  <tableColumns count="8">
    <tableColumn id="1" xr3:uid="{99317ADA-12D8-4D85-A204-FDE6C681FA4A}" name="Order_ID "/>
    <tableColumn id="2" xr3:uid="{765C196F-7E97-4450-BF91-F0B2B03E7027}" name="Customer_ID "/>
    <tableColumn id="3" xr3:uid="{AA2C33E2-B5E9-4DBC-A7BF-EBC4AA5780EB}" name="Customer_Name "/>
    <tableColumn id="4" xr3:uid="{68F6754F-3C51-41F0-985A-D725A2EBA233}" name="Region"/>
    <tableColumn id="5" xr3:uid="{DC31E683-1C95-4792-BE94-747E7A7BBE93}" name=" Product "/>
    <tableColumn id="6" xr3:uid="{EE9DA6C7-E646-4E87-A056-155B46F28A27}" name="Quantity "/>
    <tableColumn id="7" xr3:uid="{0EC90127-A21C-4A09-BA8C-8B094A5ED64B}" name="Unit_Price"/>
    <tableColumn id="8" xr3:uid="{31C0FEA1-3160-440E-BA74-B9B48BCB4846}"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40144-8B6E-424F-9DDB-79D4BA262EC7}">
  <dimension ref="A1:U230"/>
  <sheetViews>
    <sheetView workbookViewId="0">
      <selection activeCell="G1" sqref="G1"/>
    </sheetView>
  </sheetViews>
  <sheetFormatPr defaultRowHeight="15" x14ac:dyDescent="0.25"/>
  <cols>
    <col min="1" max="1" width="11.5703125" customWidth="1"/>
    <col min="2" max="2" width="15" customWidth="1"/>
    <col min="3" max="3" width="18.42578125" customWidth="1"/>
    <col min="4" max="4" width="9.28515625" customWidth="1"/>
    <col min="5" max="5" width="10.85546875" customWidth="1"/>
    <col min="6" max="6" width="11.28515625" customWidth="1"/>
    <col min="7" max="7" width="13.85546875" customWidth="1"/>
    <col min="8" max="8" width="16" customWidth="1"/>
    <col min="10" max="10" width="9.5703125" bestFit="1" customWidth="1"/>
    <col min="11" max="11" width="10.5703125" bestFit="1" customWidth="1"/>
    <col min="12" max="12" width="11.28515625" bestFit="1" customWidth="1"/>
    <col min="16" max="16" width="9.140625" customWidth="1"/>
    <col min="17" max="17" width="9.140625" hidden="1" customWidth="1"/>
  </cols>
  <sheetData>
    <row r="1" spans="1:21" x14ac:dyDescent="0.25">
      <c r="A1" s="1" t="s">
        <v>0</v>
      </c>
      <c r="B1" s="1" t="s">
        <v>1</v>
      </c>
      <c r="C1" s="1" t="s">
        <v>2</v>
      </c>
      <c r="D1" s="1" t="s">
        <v>3</v>
      </c>
      <c r="E1" s="1" t="s">
        <v>4</v>
      </c>
      <c r="F1" s="1" t="s">
        <v>5</v>
      </c>
      <c r="G1" s="7" t="s">
        <v>6</v>
      </c>
      <c r="H1" s="6" t="s">
        <v>513</v>
      </c>
      <c r="K1" s="8" t="s">
        <v>482</v>
      </c>
      <c r="L1" s="8" t="s">
        <v>486</v>
      </c>
      <c r="N1" s="8" t="s">
        <v>490</v>
      </c>
      <c r="O1" s="8"/>
      <c r="P1" s="8"/>
      <c r="Q1" s="1"/>
      <c r="S1" s="8" t="s">
        <v>495</v>
      </c>
      <c r="T1" s="8"/>
      <c r="U1" s="8"/>
    </row>
    <row r="2" spans="1:21" x14ac:dyDescent="0.25">
      <c r="A2" t="s">
        <v>7</v>
      </c>
      <c r="B2" t="s">
        <v>8</v>
      </c>
      <c r="C2" t="s">
        <v>9</v>
      </c>
      <c r="D2" t="s">
        <v>10</v>
      </c>
      <c r="E2" t="s">
        <v>11</v>
      </c>
      <c r="F2">
        <v>2</v>
      </c>
      <c r="G2" s="5">
        <v>500</v>
      </c>
      <c r="H2" s="6">
        <f>(F2)*(G2)</f>
        <v>1000</v>
      </c>
      <c r="K2" t="s">
        <v>481</v>
      </c>
      <c r="L2" t="s">
        <v>11</v>
      </c>
      <c r="N2" t="s">
        <v>491</v>
      </c>
      <c r="S2" t="s">
        <v>10</v>
      </c>
    </row>
    <row r="3" spans="1:21" x14ac:dyDescent="0.25">
      <c r="A3" t="s">
        <v>12</v>
      </c>
      <c r="B3" t="s">
        <v>13</v>
      </c>
      <c r="C3" t="s">
        <v>14</v>
      </c>
      <c r="D3" t="s">
        <v>15</v>
      </c>
      <c r="E3" t="s">
        <v>16</v>
      </c>
      <c r="F3">
        <v>1</v>
      </c>
      <c r="G3" s="5">
        <v>800</v>
      </c>
      <c r="H3" s="6">
        <f t="shared" ref="H3:H65" si="0">(F3)*(G3)</f>
        <v>800</v>
      </c>
      <c r="K3">
        <f>SUMIF(D2:D230,"North",F2:F230)</f>
        <v>171</v>
      </c>
      <c r="L3">
        <f>SUMIF(E2:E230,"electronics",H2:H230)</f>
        <v>50330</v>
      </c>
      <c r="N3">
        <f>SUMIF(C2:C230,"Sarah",F2:F230)</f>
        <v>136</v>
      </c>
      <c r="S3">
        <f>COUNTIF(D2:D230,"North")</f>
        <v>58</v>
      </c>
    </row>
    <row r="4" spans="1:21" x14ac:dyDescent="0.25">
      <c r="A4" t="s">
        <v>18</v>
      </c>
      <c r="B4" t="s">
        <v>19</v>
      </c>
      <c r="C4" t="s">
        <v>20</v>
      </c>
      <c r="D4" t="s">
        <v>21</v>
      </c>
      <c r="E4" t="s">
        <v>22</v>
      </c>
      <c r="F4">
        <v>5</v>
      </c>
      <c r="G4" s="5">
        <v>50</v>
      </c>
      <c r="H4" s="6">
        <f t="shared" si="0"/>
        <v>250</v>
      </c>
      <c r="K4" t="s">
        <v>483</v>
      </c>
      <c r="L4" t="s">
        <v>487</v>
      </c>
      <c r="N4" t="s">
        <v>492</v>
      </c>
      <c r="S4" t="s">
        <v>496</v>
      </c>
    </row>
    <row r="5" spans="1:21" x14ac:dyDescent="0.25">
      <c r="A5" t="s">
        <v>23</v>
      </c>
      <c r="B5" t="s">
        <v>24</v>
      </c>
      <c r="C5" t="s">
        <v>25</v>
      </c>
      <c r="D5" t="s">
        <v>26</v>
      </c>
      <c r="E5" t="s">
        <v>17</v>
      </c>
      <c r="F5">
        <v>10</v>
      </c>
      <c r="G5" s="5">
        <v>20</v>
      </c>
      <c r="H5" s="6">
        <f t="shared" si="0"/>
        <v>200</v>
      </c>
      <c r="K5">
        <f>SUMIF(D2:D230,"west",F2:F230)</f>
        <v>271</v>
      </c>
      <c r="L5">
        <f>SUMIF(E2:E230,"furniture",H2:H230)</f>
        <v>47300</v>
      </c>
      <c r="N5">
        <f>SUMIF(C2:C230,"linda",F2:F230)</f>
        <v>135</v>
      </c>
      <c r="S5">
        <f>COUNTIF(D2:D230,"east")</f>
        <v>57</v>
      </c>
    </row>
    <row r="6" spans="1:21" x14ac:dyDescent="0.25">
      <c r="A6" t="s">
        <v>27</v>
      </c>
      <c r="B6" t="s">
        <v>28</v>
      </c>
      <c r="C6" t="s">
        <v>29</v>
      </c>
      <c r="D6" t="s">
        <v>10</v>
      </c>
      <c r="E6" t="s">
        <v>11</v>
      </c>
      <c r="F6">
        <v>3</v>
      </c>
      <c r="G6" s="5">
        <v>600</v>
      </c>
      <c r="H6" s="6">
        <f t="shared" si="0"/>
        <v>1800</v>
      </c>
      <c r="K6" t="s">
        <v>484</v>
      </c>
      <c r="L6" t="s">
        <v>488</v>
      </c>
      <c r="N6" t="s">
        <v>493</v>
      </c>
      <c r="S6" t="s">
        <v>484</v>
      </c>
    </row>
    <row r="7" spans="1:21" x14ac:dyDescent="0.25">
      <c r="A7" t="s">
        <v>30</v>
      </c>
      <c r="B7" t="s">
        <v>31</v>
      </c>
      <c r="C7" t="s">
        <v>32</v>
      </c>
      <c r="D7" t="s">
        <v>15</v>
      </c>
      <c r="E7" t="s">
        <v>16</v>
      </c>
      <c r="F7">
        <v>2</v>
      </c>
      <c r="G7" s="5">
        <v>700</v>
      </c>
      <c r="H7" s="6">
        <f t="shared" si="0"/>
        <v>1400</v>
      </c>
      <c r="K7">
        <f>SUMIF(D2:D230,"south",F2:F230)</f>
        <v>256</v>
      </c>
      <c r="L7">
        <f>SUMIF(E2:E230,"clothing",H2:H230)</f>
        <v>46960</v>
      </c>
      <c r="N7">
        <f>SUMIF(C2:C230,"grace",F2:F230)</f>
        <v>128</v>
      </c>
      <c r="S7">
        <f>COUNTIF(D2:D230,"south")</f>
        <v>57</v>
      </c>
    </row>
    <row r="8" spans="1:21" x14ac:dyDescent="0.25">
      <c r="A8" t="s">
        <v>33</v>
      </c>
      <c r="B8" t="s">
        <v>34</v>
      </c>
      <c r="C8" t="s">
        <v>35</v>
      </c>
      <c r="D8" t="s">
        <v>21</v>
      </c>
      <c r="E8" t="s">
        <v>22</v>
      </c>
      <c r="F8">
        <v>4</v>
      </c>
      <c r="G8" s="5">
        <v>45</v>
      </c>
      <c r="H8" s="6">
        <f t="shared" si="0"/>
        <v>180</v>
      </c>
      <c r="K8" t="s">
        <v>485</v>
      </c>
      <c r="L8" t="s">
        <v>489</v>
      </c>
      <c r="N8" t="s">
        <v>14</v>
      </c>
      <c r="S8" t="s">
        <v>483</v>
      </c>
    </row>
    <row r="9" spans="1:21" x14ac:dyDescent="0.25">
      <c r="A9" t="s">
        <v>36</v>
      </c>
      <c r="B9" t="s">
        <v>37</v>
      </c>
      <c r="C9" t="s">
        <v>38</v>
      </c>
      <c r="D9" t="s">
        <v>26</v>
      </c>
      <c r="E9" t="s">
        <v>17</v>
      </c>
      <c r="F9">
        <v>8</v>
      </c>
      <c r="G9" s="5">
        <v>25</v>
      </c>
      <c r="H9" s="6">
        <f t="shared" si="0"/>
        <v>200</v>
      </c>
      <c r="K9">
        <f>SUMIF(D2:D230,"EAST",F2:F230)</f>
        <v>174</v>
      </c>
      <c r="L9">
        <f>SUMIF(E2:E230,"food",H2:H230)</f>
        <v>45500</v>
      </c>
      <c r="N9">
        <f ca="1">SUMIF(C1:C230,"Mary",F2:F230)</f>
        <v>87</v>
      </c>
      <c r="S9">
        <f>COUNTIF(D2:D230,"west")</f>
        <v>57</v>
      </c>
    </row>
    <row r="10" spans="1:21" x14ac:dyDescent="0.25">
      <c r="A10" t="s">
        <v>39</v>
      </c>
      <c r="B10" t="s">
        <v>40</v>
      </c>
      <c r="C10" t="s">
        <v>9</v>
      </c>
      <c r="D10" t="s">
        <v>10</v>
      </c>
      <c r="E10" t="s">
        <v>11</v>
      </c>
      <c r="F10">
        <v>1</v>
      </c>
      <c r="G10" s="5">
        <v>1000</v>
      </c>
      <c r="H10" s="6">
        <f t="shared" si="0"/>
        <v>1000</v>
      </c>
      <c r="N10" t="s">
        <v>494</v>
      </c>
    </row>
    <row r="11" spans="1:21" x14ac:dyDescent="0.25">
      <c r="A11" t="s">
        <v>41</v>
      </c>
      <c r="B11" t="s">
        <v>42</v>
      </c>
      <c r="C11" t="s">
        <v>14</v>
      </c>
      <c r="D11" t="s">
        <v>15</v>
      </c>
      <c r="E11" t="s">
        <v>16</v>
      </c>
      <c r="F11">
        <v>2</v>
      </c>
      <c r="G11" s="5">
        <v>750</v>
      </c>
      <c r="H11" s="6">
        <f t="shared" si="0"/>
        <v>1500</v>
      </c>
      <c r="J11" s="8" t="s">
        <v>497</v>
      </c>
      <c r="K11" s="8"/>
      <c r="N11">
        <f>SUMIF(C2:C230,"daniel",F2:F230)</f>
        <v>87</v>
      </c>
    </row>
    <row r="12" spans="1:21" x14ac:dyDescent="0.25">
      <c r="A12" t="s">
        <v>43</v>
      </c>
      <c r="B12" t="s">
        <v>44</v>
      </c>
      <c r="C12" t="s">
        <v>20</v>
      </c>
      <c r="D12" t="s">
        <v>21</v>
      </c>
      <c r="E12" t="s">
        <v>22</v>
      </c>
      <c r="F12">
        <v>2</v>
      </c>
      <c r="G12" s="5">
        <v>500</v>
      </c>
      <c r="H12" s="6">
        <f t="shared" si="0"/>
        <v>1000</v>
      </c>
      <c r="J12" t="s">
        <v>487</v>
      </c>
    </row>
    <row r="13" spans="1:21" x14ac:dyDescent="0.25">
      <c r="A13" t="s">
        <v>45</v>
      </c>
      <c r="B13" t="s">
        <v>46</v>
      </c>
      <c r="C13" t="s">
        <v>25</v>
      </c>
      <c r="D13" t="s">
        <v>26</v>
      </c>
      <c r="E13" t="s">
        <v>17</v>
      </c>
      <c r="F13">
        <v>1</v>
      </c>
      <c r="G13" s="5">
        <v>800</v>
      </c>
      <c r="H13" s="6">
        <f t="shared" si="0"/>
        <v>800</v>
      </c>
      <c r="J13" s="4">
        <f>AVERAGEIF(E2:E230,"Furniture",G2:G230)</f>
        <v>469.21052631578948</v>
      </c>
      <c r="N13" t="s">
        <v>491</v>
      </c>
    </row>
    <row r="14" spans="1:21" x14ac:dyDescent="0.25">
      <c r="A14" t="s">
        <v>47</v>
      </c>
      <c r="B14" t="s">
        <v>48</v>
      </c>
      <c r="C14" t="s">
        <v>29</v>
      </c>
      <c r="D14" t="s">
        <v>10</v>
      </c>
      <c r="E14" t="s">
        <v>11</v>
      </c>
      <c r="F14">
        <v>5</v>
      </c>
      <c r="G14" s="5">
        <v>50</v>
      </c>
      <c r="H14" s="6">
        <f t="shared" si="0"/>
        <v>250</v>
      </c>
      <c r="J14" t="s">
        <v>498</v>
      </c>
      <c r="N14">
        <f ca="1">MAX(N2:N11)</f>
        <v>136</v>
      </c>
    </row>
    <row r="15" spans="1:21" x14ac:dyDescent="0.25">
      <c r="A15" t="s">
        <v>49</v>
      </c>
      <c r="B15" t="s">
        <v>50</v>
      </c>
      <c r="C15" t="s">
        <v>32</v>
      </c>
      <c r="D15" t="s">
        <v>15</v>
      </c>
      <c r="E15" t="s">
        <v>16</v>
      </c>
      <c r="F15">
        <v>10</v>
      </c>
      <c r="G15" s="5">
        <v>20</v>
      </c>
      <c r="H15" s="6">
        <f t="shared" si="0"/>
        <v>200</v>
      </c>
      <c r="J15">
        <f>AVERAGEIF(E2:E230,"Electronics",G2:G230)</f>
        <v>452.5</v>
      </c>
    </row>
    <row r="16" spans="1:21" x14ac:dyDescent="0.25">
      <c r="A16" t="s">
        <v>51</v>
      </c>
      <c r="B16" t="s">
        <v>52</v>
      </c>
      <c r="C16" t="s">
        <v>35</v>
      </c>
      <c r="D16" t="s">
        <v>21</v>
      </c>
      <c r="E16" t="s">
        <v>22</v>
      </c>
      <c r="F16">
        <v>3</v>
      </c>
      <c r="G16" s="5">
        <v>600</v>
      </c>
      <c r="H16" s="6">
        <f t="shared" si="0"/>
        <v>1800</v>
      </c>
      <c r="J16" t="s">
        <v>489</v>
      </c>
      <c r="L16" s="8" t="s">
        <v>500</v>
      </c>
      <c r="M16" s="8"/>
      <c r="N16" s="8"/>
    </row>
    <row r="17" spans="1:16" x14ac:dyDescent="0.25">
      <c r="A17" t="s">
        <v>53</v>
      </c>
      <c r="B17" t="s">
        <v>54</v>
      </c>
      <c r="C17" t="s">
        <v>38</v>
      </c>
      <c r="D17" t="s">
        <v>26</v>
      </c>
      <c r="E17" t="s">
        <v>17</v>
      </c>
      <c r="F17">
        <v>2</v>
      </c>
      <c r="G17" s="5">
        <v>700</v>
      </c>
      <c r="H17" s="6">
        <f t="shared" si="0"/>
        <v>1400</v>
      </c>
      <c r="J17">
        <f>AVERAGEIF(E2:E230,"Food",G2:G230)</f>
        <v>443.68421052631578</v>
      </c>
      <c r="L17" t="s">
        <v>501</v>
      </c>
      <c r="P17" s="6"/>
    </row>
    <row r="18" spans="1:16" x14ac:dyDescent="0.25">
      <c r="A18" t="s">
        <v>55</v>
      </c>
      <c r="B18" t="s">
        <v>56</v>
      </c>
      <c r="C18" t="s">
        <v>9</v>
      </c>
      <c r="D18" t="s">
        <v>10</v>
      </c>
      <c r="E18" t="s">
        <v>11</v>
      </c>
      <c r="F18">
        <v>4</v>
      </c>
      <c r="G18" s="5">
        <v>45</v>
      </c>
      <c r="H18" s="6">
        <f t="shared" si="0"/>
        <v>180</v>
      </c>
      <c r="J18" t="s">
        <v>499</v>
      </c>
      <c r="L18">
        <f>SUMIFS(F2:F230, D2:D230,"East", E2:E230,"clothing")</f>
        <v>174</v>
      </c>
    </row>
    <row r="19" spans="1:16" x14ac:dyDescent="0.25">
      <c r="A19" t="s">
        <v>57</v>
      </c>
      <c r="B19" t="s">
        <v>58</v>
      </c>
      <c r="C19" t="s">
        <v>14</v>
      </c>
      <c r="D19" t="s">
        <v>15</v>
      </c>
      <c r="E19" t="s">
        <v>16</v>
      </c>
      <c r="F19">
        <v>8</v>
      </c>
      <c r="G19" s="5">
        <v>25</v>
      </c>
      <c r="H19" s="6">
        <f t="shared" si="0"/>
        <v>200</v>
      </c>
      <c r="J19">
        <f>AVERAGEIF(E2:E230,"clothing",G2:G230)</f>
        <v>425.26315789473682</v>
      </c>
      <c r="L19" t="s">
        <v>502</v>
      </c>
    </row>
    <row r="20" spans="1:16" x14ac:dyDescent="0.25">
      <c r="A20" t="s">
        <v>59</v>
      </c>
      <c r="B20" t="s">
        <v>60</v>
      </c>
      <c r="C20" t="s">
        <v>20</v>
      </c>
      <c r="D20" t="s">
        <v>21</v>
      </c>
      <c r="E20" t="s">
        <v>22</v>
      </c>
      <c r="F20">
        <v>1</v>
      </c>
      <c r="G20" s="5">
        <v>1000</v>
      </c>
      <c r="H20" s="6">
        <f t="shared" si="0"/>
        <v>1000</v>
      </c>
      <c r="L20">
        <f>SUMIFS(F2:F230, D2:D230,"North", E2:E230,"electronics")</f>
        <v>171</v>
      </c>
    </row>
    <row r="21" spans="1:16" x14ac:dyDescent="0.25">
      <c r="A21" t="s">
        <v>61</v>
      </c>
      <c r="B21" t="s">
        <v>62</v>
      </c>
      <c r="C21" t="s">
        <v>25</v>
      </c>
      <c r="D21" t="s">
        <v>26</v>
      </c>
      <c r="E21" t="s">
        <v>17</v>
      </c>
      <c r="F21">
        <v>2</v>
      </c>
      <c r="G21" s="5">
        <v>750</v>
      </c>
      <c r="H21" s="6">
        <f t="shared" si="0"/>
        <v>1500</v>
      </c>
      <c r="L21" t="s">
        <v>503</v>
      </c>
    </row>
    <row r="22" spans="1:16" x14ac:dyDescent="0.25">
      <c r="A22" t="s">
        <v>63</v>
      </c>
      <c r="B22" t="s">
        <v>64</v>
      </c>
      <c r="C22" t="s">
        <v>29</v>
      </c>
      <c r="D22" t="s">
        <v>10</v>
      </c>
      <c r="E22" t="s">
        <v>11</v>
      </c>
      <c r="F22">
        <v>2</v>
      </c>
      <c r="G22" s="5">
        <v>500</v>
      </c>
      <c r="H22" s="6">
        <f t="shared" si="0"/>
        <v>1000</v>
      </c>
      <c r="L22">
        <f>SUMIFS(F2:F230, D2:D230,"south", E2:E230,"furniture")</f>
        <v>256</v>
      </c>
    </row>
    <row r="23" spans="1:16" x14ac:dyDescent="0.25">
      <c r="A23" t="s">
        <v>65</v>
      </c>
      <c r="B23" t="s">
        <v>66</v>
      </c>
      <c r="C23" t="s">
        <v>32</v>
      </c>
      <c r="D23" t="s">
        <v>15</v>
      </c>
      <c r="E23" t="s">
        <v>16</v>
      </c>
      <c r="F23">
        <v>1</v>
      </c>
      <c r="G23" s="5">
        <v>800</v>
      </c>
      <c r="H23" s="6">
        <f t="shared" si="0"/>
        <v>800</v>
      </c>
      <c r="L23" t="s">
        <v>504</v>
      </c>
    </row>
    <row r="24" spans="1:16" x14ac:dyDescent="0.25">
      <c r="A24" t="s">
        <v>67</v>
      </c>
      <c r="B24" t="s">
        <v>68</v>
      </c>
      <c r="C24" t="s">
        <v>35</v>
      </c>
      <c r="D24" t="s">
        <v>21</v>
      </c>
      <c r="E24" t="s">
        <v>22</v>
      </c>
      <c r="F24">
        <v>5</v>
      </c>
      <c r="G24" s="5">
        <v>50</v>
      </c>
      <c r="H24" s="6">
        <f t="shared" si="0"/>
        <v>250</v>
      </c>
      <c r="L24">
        <f>SUMIFS(F2:F230,D2:D230,"west", E2:E230,"food")</f>
        <v>271</v>
      </c>
    </row>
    <row r="25" spans="1:16" x14ac:dyDescent="0.25">
      <c r="A25" t="s">
        <v>69</v>
      </c>
      <c r="B25" t="s">
        <v>70</v>
      </c>
      <c r="C25" t="s">
        <v>38</v>
      </c>
      <c r="D25" t="s">
        <v>26</v>
      </c>
      <c r="E25" t="s">
        <v>17</v>
      </c>
      <c r="F25">
        <v>10</v>
      </c>
      <c r="G25" s="5">
        <v>20</v>
      </c>
      <c r="H25" s="6">
        <f t="shared" si="0"/>
        <v>200</v>
      </c>
      <c r="L25" t="s">
        <v>505</v>
      </c>
    </row>
    <row r="26" spans="1:16" x14ac:dyDescent="0.25">
      <c r="A26" t="s">
        <v>71</v>
      </c>
      <c r="B26" t="s">
        <v>72</v>
      </c>
      <c r="C26" t="s">
        <v>9</v>
      </c>
      <c r="D26" t="s">
        <v>10</v>
      </c>
      <c r="E26" t="s">
        <v>11</v>
      </c>
      <c r="F26">
        <v>3</v>
      </c>
      <c r="G26" s="5">
        <v>600</v>
      </c>
      <c r="H26" s="6">
        <f t="shared" si="0"/>
        <v>1800</v>
      </c>
      <c r="L26">
        <f>MAX(L17:L24)</f>
        <v>271</v>
      </c>
    </row>
    <row r="27" spans="1:16" x14ac:dyDescent="0.25">
      <c r="A27" t="s">
        <v>73</v>
      </c>
      <c r="B27" t="s">
        <v>74</v>
      </c>
      <c r="C27" t="s">
        <v>14</v>
      </c>
      <c r="D27" t="s">
        <v>15</v>
      </c>
      <c r="E27" t="s">
        <v>16</v>
      </c>
      <c r="F27">
        <v>2</v>
      </c>
      <c r="G27" s="5">
        <v>700</v>
      </c>
      <c r="H27" s="6">
        <f t="shared" si="0"/>
        <v>1400</v>
      </c>
    </row>
    <row r="28" spans="1:16" x14ac:dyDescent="0.25">
      <c r="A28" t="s">
        <v>75</v>
      </c>
      <c r="B28" t="s">
        <v>76</v>
      </c>
      <c r="C28" t="s">
        <v>20</v>
      </c>
      <c r="D28" t="s">
        <v>21</v>
      </c>
      <c r="E28" t="s">
        <v>22</v>
      </c>
      <c r="F28">
        <v>4</v>
      </c>
      <c r="G28" s="5">
        <v>45</v>
      </c>
      <c r="H28" s="6">
        <f t="shared" si="0"/>
        <v>180</v>
      </c>
    </row>
    <row r="29" spans="1:16" x14ac:dyDescent="0.25">
      <c r="A29" t="s">
        <v>77</v>
      </c>
      <c r="B29" t="s">
        <v>78</v>
      </c>
      <c r="C29" t="s">
        <v>25</v>
      </c>
      <c r="D29" t="s">
        <v>26</v>
      </c>
      <c r="E29" t="s">
        <v>17</v>
      </c>
      <c r="F29">
        <v>8</v>
      </c>
      <c r="G29" s="5">
        <v>25</v>
      </c>
      <c r="H29" s="6">
        <f t="shared" si="0"/>
        <v>200</v>
      </c>
    </row>
    <row r="30" spans="1:16" x14ac:dyDescent="0.25">
      <c r="A30" t="s">
        <v>79</v>
      </c>
      <c r="B30" t="s">
        <v>80</v>
      </c>
      <c r="C30" t="s">
        <v>29</v>
      </c>
      <c r="D30" t="s">
        <v>10</v>
      </c>
      <c r="E30" t="s">
        <v>11</v>
      </c>
      <c r="F30">
        <v>1</v>
      </c>
      <c r="G30" s="5">
        <v>1000</v>
      </c>
      <c r="H30" s="6">
        <f t="shared" si="0"/>
        <v>1000</v>
      </c>
    </row>
    <row r="31" spans="1:16" x14ac:dyDescent="0.25">
      <c r="A31" t="s">
        <v>81</v>
      </c>
      <c r="B31" t="s">
        <v>82</v>
      </c>
      <c r="C31" t="s">
        <v>32</v>
      </c>
      <c r="D31" t="s">
        <v>15</v>
      </c>
      <c r="E31" t="s">
        <v>16</v>
      </c>
      <c r="F31">
        <v>2</v>
      </c>
      <c r="G31" s="5">
        <v>750</v>
      </c>
      <c r="H31" s="6">
        <f t="shared" si="0"/>
        <v>1500</v>
      </c>
    </row>
    <row r="32" spans="1:16" x14ac:dyDescent="0.25">
      <c r="A32" t="s">
        <v>83</v>
      </c>
      <c r="B32" t="s">
        <v>84</v>
      </c>
      <c r="C32" t="s">
        <v>35</v>
      </c>
      <c r="D32" t="s">
        <v>21</v>
      </c>
      <c r="E32" t="s">
        <v>22</v>
      </c>
      <c r="F32">
        <v>2</v>
      </c>
      <c r="G32" s="5">
        <v>500</v>
      </c>
      <c r="H32" s="6">
        <f t="shared" si="0"/>
        <v>1000</v>
      </c>
    </row>
    <row r="33" spans="1:8" x14ac:dyDescent="0.25">
      <c r="A33" t="s">
        <v>85</v>
      </c>
      <c r="B33" t="s">
        <v>86</v>
      </c>
      <c r="C33" t="s">
        <v>38</v>
      </c>
      <c r="D33" t="s">
        <v>26</v>
      </c>
      <c r="E33" t="s">
        <v>17</v>
      </c>
      <c r="F33">
        <v>1</v>
      </c>
      <c r="G33" s="5">
        <v>800</v>
      </c>
      <c r="H33" s="6">
        <f t="shared" si="0"/>
        <v>800</v>
      </c>
    </row>
    <row r="34" spans="1:8" x14ac:dyDescent="0.25">
      <c r="A34" t="s">
        <v>87</v>
      </c>
      <c r="B34" t="s">
        <v>88</v>
      </c>
      <c r="C34" t="s">
        <v>9</v>
      </c>
      <c r="D34" t="s">
        <v>10</v>
      </c>
      <c r="E34" t="s">
        <v>11</v>
      </c>
      <c r="F34">
        <v>5</v>
      </c>
      <c r="G34" s="5">
        <v>50</v>
      </c>
      <c r="H34" s="6">
        <f t="shared" si="0"/>
        <v>250</v>
      </c>
    </row>
    <row r="35" spans="1:8" x14ac:dyDescent="0.25">
      <c r="A35" t="s">
        <v>89</v>
      </c>
      <c r="B35" t="s">
        <v>90</v>
      </c>
      <c r="C35" t="s">
        <v>14</v>
      </c>
      <c r="D35" t="s">
        <v>15</v>
      </c>
      <c r="E35" t="s">
        <v>16</v>
      </c>
      <c r="F35">
        <v>10</v>
      </c>
      <c r="G35" s="5">
        <v>20</v>
      </c>
      <c r="H35" s="6">
        <f t="shared" si="0"/>
        <v>200</v>
      </c>
    </row>
    <row r="36" spans="1:8" x14ac:dyDescent="0.25">
      <c r="A36" t="s">
        <v>91</v>
      </c>
      <c r="B36" t="s">
        <v>92</v>
      </c>
      <c r="C36" t="s">
        <v>20</v>
      </c>
      <c r="D36" t="s">
        <v>21</v>
      </c>
      <c r="E36" t="s">
        <v>22</v>
      </c>
      <c r="F36">
        <v>3</v>
      </c>
      <c r="G36" s="5">
        <v>600</v>
      </c>
      <c r="H36" s="6">
        <f t="shared" si="0"/>
        <v>1800</v>
      </c>
    </row>
    <row r="37" spans="1:8" x14ac:dyDescent="0.25">
      <c r="A37" t="s">
        <v>93</v>
      </c>
      <c r="B37" t="s">
        <v>94</v>
      </c>
      <c r="C37" t="s">
        <v>25</v>
      </c>
      <c r="D37" t="s">
        <v>26</v>
      </c>
      <c r="E37" t="s">
        <v>17</v>
      </c>
      <c r="F37">
        <v>2</v>
      </c>
      <c r="G37" s="5">
        <v>700</v>
      </c>
      <c r="H37" s="6">
        <f t="shared" si="0"/>
        <v>1400</v>
      </c>
    </row>
    <row r="38" spans="1:8" x14ac:dyDescent="0.25">
      <c r="A38" t="s">
        <v>95</v>
      </c>
      <c r="B38" t="s">
        <v>96</v>
      </c>
      <c r="C38" t="s">
        <v>29</v>
      </c>
      <c r="D38" t="s">
        <v>10</v>
      </c>
      <c r="E38" t="s">
        <v>11</v>
      </c>
      <c r="F38">
        <v>4</v>
      </c>
      <c r="G38" s="5">
        <v>45</v>
      </c>
      <c r="H38" s="6">
        <f t="shared" si="0"/>
        <v>180</v>
      </c>
    </row>
    <row r="39" spans="1:8" x14ac:dyDescent="0.25">
      <c r="A39" t="s">
        <v>97</v>
      </c>
      <c r="B39" t="s">
        <v>98</v>
      </c>
      <c r="C39" t="s">
        <v>32</v>
      </c>
      <c r="D39" t="s">
        <v>15</v>
      </c>
      <c r="E39" t="s">
        <v>16</v>
      </c>
      <c r="F39">
        <v>8</v>
      </c>
      <c r="G39" s="5">
        <v>25</v>
      </c>
      <c r="H39" s="6">
        <f t="shared" si="0"/>
        <v>200</v>
      </c>
    </row>
    <row r="40" spans="1:8" x14ac:dyDescent="0.25">
      <c r="A40" t="s">
        <v>99</v>
      </c>
      <c r="B40" t="s">
        <v>100</v>
      </c>
      <c r="C40" t="s">
        <v>35</v>
      </c>
      <c r="D40" t="s">
        <v>21</v>
      </c>
      <c r="E40" t="s">
        <v>22</v>
      </c>
      <c r="F40">
        <v>1</v>
      </c>
      <c r="G40" s="5">
        <v>1000</v>
      </c>
      <c r="H40" s="6">
        <f t="shared" si="0"/>
        <v>1000</v>
      </c>
    </row>
    <row r="41" spans="1:8" x14ac:dyDescent="0.25">
      <c r="A41" t="s">
        <v>101</v>
      </c>
      <c r="B41" t="s">
        <v>102</v>
      </c>
      <c r="C41" t="s">
        <v>38</v>
      </c>
      <c r="D41" t="s">
        <v>26</v>
      </c>
      <c r="E41" t="s">
        <v>17</v>
      </c>
      <c r="F41">
        <v>2</v>
      </c>
      <c r="G41" s="5">
        <v>750</v>
      </c>
      <c r="H41" s="6">
        <f t="shared" si="0"/>
        <v>1500</v>
      </c>
    </row>
    <row r="42" spans="1:8" x14ac:dyDescent="0.25">
      <c r="A42" t="s">
        <v>103</v>
      </c>
      <c r="B42" t="s">
        <v>104</v>
      </c>
      <c r="C42" t="s">
        <v>9</v>
      </c>
      <c r="D42" t="s">
        <v>10</v>
      </c>
      <c r="E42" t="s">
        <v>11</v>
      </c>
      <c r="F42">
        <v>2</v>
      </c>
      <c r="G42" s="5">
        <v>500</v>
      </c>
      <c r="H42" s="6">
        <f t="shared" si="0"/>
        <v>1000</v>
      </c>
    </row>
    <row r="43" spans="1:8" x14ac:dyDescent="0.25">
      <c r="A43" t="s">
        <v>105</v>
      </c>
      <c r="B43" t="s">
        <v>106</v>
      </c>
      <c r="C43" t="s">
        <v>14</v>
      </c>
      <c r="D43" t="s">
        <v>15</v>
      </c>
      <c r="E43" t="s">
        <v>16</v>
      </c>
      <c r="F43">
        <v>1</v>
      </c>
      <c r="G43" s="5">
        <v>800</v>
      </c>
      <c r="H43" s="6">
        <f t="shared" si="0"/>
        <v>800</v>
      </c>
    </row>
    <row r="44" spans="1:8" x14ac:dyDescent="0.25">
      <c r="A44" t="s">
        <v>107</v>
      </c>
      <c r="B44" t="s">
        <v>108</v>
      </c>
      <c r="C44" t="s">
        <v>20</v>
      </c>
      <c r="D44" t="s">
        <v>21</v>
      </c>
      <c r="E44" t="s">
        <v>22</v>
      </c>
      <c r="F44">
        <v>5</v>
      </c>
      <c r="G44" s="5">
        <v>50</v>
      </c>
      <c r="H44" s="6">
        <f t="shared" si="0"/>
        <v>250</v>
      </c>
    </row>
    <row r="45" spans="1:8" x14ac:dyDescent="0.25">
      <c r="A45" t="s">
        <v>109</v>
      </c>
      <c r="B45" t="s">
        <v>110</v>
      </c>
      <c r="C45" t="s">
        <v>25</v>
      </c>
      <c r="D45" t="s">
        <v>26</v>
      </c>
      <c r="E45" t="s">
        <v>17</v>
      </c>
      <c r="F45">
        <v>10</v>
      </c>
      <c r="G45" s="5">
        <v>20</v>
      </c>
      <c r="H45" s="6">
        <f t="shared" si="0"/>
        <v>200</v>
      </c>
    </row>
    <row r="46" spans="1:8" x14ac:dyDescent="0.25">
      <c r="A46" t="s">
        <v>111</v>
      </c>
      <c r="B46" t="s">
        <v>112</v>
      </c>
      <c r="C46" t="s">
        <v>29</v>
      </c>
      <c r="D46" t="s">
        <v>10</v>
      </c>
      <c r="E46" t="s">
        <v>11</v>
      </c>
      <c r="F46">
        <v>3</v>
      </c>
      <c r="G46" s="5">
        <v>600</v>
      </c>
      <c r="H46" s="6">
        <f t="shared" si="0"/>
        <v>1800</v>
      </c>
    </row>
    <row r="47" spans="1:8" x14ac:dyDescent="0.25">
      <c r="A47" t="s">
        <v>113</v>
      </c>
      <c r="B47" t="s">
        <v>114</v>
      </c>
      <c r="C47" t="s">
        <v>32</v>
      </c>
      <c r="D47" t="s">
        <v>15</v>
      </c>
      <c r="E47" t="s">
        <v>16</v>
      </c>
      <c r="F47">
        <v>2</v>
      </c>
      <c r="G47" s="5">
        <v>700</v>
      </c>
      <c r="H47" s="6">
        <f t="shared" si="0"/>
        <v>1400</v>
      </c>
    </row>
    <row r="48" spans="1:8" x14ac:dyDescent="0.25">
      <c r="A48" t="s">
        <v>115</v>
      </c>
      <c r="B48" t="s">
        <v>116</v>
      </c>
      <c r="C48" t="s">
        <v>35</v>
      </c>
      <c r="D48" t="s">
        <v>21</v>
      </c>
      <c r="E48" t="s">
        <v>22</v>
      </c>
      <c r="F48">
        <v>4</v>
      </c>
      <c r="G48" s="5">
        <v>45</v>
      </c>
      <c r="H48" s="6">
        <f t="shared" si="0"/>
        <v>180</v>
      </c>
    </row>
    <row r="49" spans="1:8" x14ac:dyDescent="0.25">
      <c r="A49" t="s">
        <v>117</v>
      </c>
      <c r="B49" t="s">
        <v>118</v>
      </c>
      <c r="C49" t="s">
        <v>38</v>
      </c>
      <c r="D49" t="s">
        <v>26</v>
      </c>
      <c r="E49" t="s">
        <v>17</v>
      </c>
      <c r="F49">
        <v>8</v>
      </c>
      <c r="G49" s="5">
        <v>25</v>
      </c>
      <c r="H49" s="6">
        <f t="shared" si="0"/>
        <v>200</v>
      </c>
    </row>
    <row r="50" spans="1:8" x14ac:dyDescent="0.25">
      <c r="A50" t="s">
        <v>119</v>
      </c>
      <c r="B50" t="s">
        <v>120</v>
      </c>
      <c r="C50" t="s">
        <v>9</v>
      </c>
      <c r="D50" t="s">
        <v>10</v>
      </c>
      <c r="E50" t="s">
        <v>11</v>
      </c>
      <c r="F50">
        <v>1</v>
      </c>
      <c r="G50" s="5">
        <v>1000</v>
      </c>
      <c r="H50" s="6">
        <f t="shared" si="0"/>
        <v>1000</v>
      </c>
    </row>
    <row r="51" spans="1:8" x14ac:dyDescent="0.25">
      <c r="A51" t="s">
        <v>121</v>
      </c>
      <c r="B51" t="s">
        <v>122</v>
      </c>
      <c r="C51" t="s">
        <v>14</v>
      </c>
      <c r="D51" t="s">
        <v>15</v>
      </c>
      <c r="E51" t="s">
        <v>16</v>
      </c>
      <c r="F51">
        <v>2</v>
      </c>
      <c r="G51" s="5">
        <v>750</v>
      </c>
      <c r="H51" s="6">
        <f t="shared" si="0"/>
        <v>1500</v>
      </c>
    </row>
    <row r="52" spans="1:8" x14ac:dyDescent="0.25">
      <c r="A52" t="s">
        <v>123</v>
      </c>
      <c r="B52" t="s">
        <v>124</v>
      </c>
      <c r="C52" t="s">
        <v>20</v>
      </c>
      <c r="D52" t="s">
        <v>21</v>
      </c>
      <c r="E52" t="s">
        <v>22</v>
      </c>
      <c r="F52">
        <v>2</v>
      </c>
      <c r="G52" s="5">
        <v>500</v>
      </c>
      <c r="H52" s="6">
        <f t="shared" si="0"/>
        <v>1000</v>
      </c>
    </row>
    <row r="53" spans="1:8" x14ac:dyDescent="0.25">
      <c r="A53" t="s">
        <v>125</v>
      </c>
      <c r="B53" t="s">
        <v>126</v>
      </c>
      <c r="C53" t="s">
        <v>25</v>
      </c>
      <c r="D53" t="s">
        <v>26</v>
      </c>
      <c r="E53" t="s">
        <v>17</v>
      </c>
      <c r="F53">
        <v>1</v>
      </c>
      <c r="G53" s="5">
        <v>800</v>
      </c>
      <c r="H53" s="6">
        <f t="shared" si="0"/>
        <v>800</v>
      </c>
    </row>
    <row r="54" spans="1:8" x14ac:dyDescent="0.25">
      <c r="A54" t="s">
        <v>127</v>
      </c>
      <c r="B54" t="s">
        <v>128</v>
      </c>
      <c r="C54" t="s">
        <v>29</v>
      </c>
      <c r="D54" t="s">
        <v>10</v>
      </c>
      <c r="E54" t="s">
        <v>11</v>
      </c>
      <c r="F54">
        <v>5</v>
      </c>
      <c r="G54" s="5">
        <v>50</v>
      </c>
      <c r="H54" s="6">
        <f t="shared" si="0"/>
        <v>250</v>
      </c>
    </row>
    <row r="55" spans="1:8" x14ac:dyDescent="0.25">
      <c r="A55" t="s">
        <v>129</v>
      </c>
      <c r="B55" t="s">
        <v>130</v>
      </c>
      <c r="C55" t="s">
        <v>32</v>
      </c>
      <c r="D55" t="s">
        <v>15</v>
      </c>
      <c r="E55" t="s">
        <v>16</v>
      </c>
      <c r="F55">
        <v>10</v>
      </c>
      <c r="G55" s="5">
        <v>20</v>
      </c>
      <c r="H55" s="6">
        <f t="shared" si="0"/>
        <v>200</v>
      </c>
    </row>
    <row r="56" spans="1:8" x14ac:dyDescent="0.25">
      <c r="A56" t="s">
        <v>131</v>
      </c>
      <c r="B56" t="s">
        <v>132</v>
      </c>
      <c r="C56" t="s">
        <v>35</v>
      </c>
      <c r="D56" t="s">
        <v>21</v>
      </c>
      <c r="E56" t="s">
        <v>22</v>
      </c>
      <c r="F56">
        <v>3</v>
      </c>
      <c r="G56" s="5">
        <v>600</v>
      </c>
      <c r="H56" s="6">
        <f t="shared" si="0"/>
        <v>1800</v>
      </c>
    </row>
    <row r="57" spans="1:8" x14ac:dyDescent="0.25">
      <c r="A57" t="s">
        <v>133</v>
      </c>
      <c r="B57" t="s">
        <v>134</v>
      </c>
      <c r="C57" t="s">
        <v>38</v>
      </c>
      <c r="D57" t="s">
        <v>26</v>
      </c>
      <c r="E57" t="s">
        <v>17</v>
      </c>
      <c r="F57">
        <v>2</v>
      </c>
      <c r="G57" s="5">
        <v>700</v>
      </c>
      <c r="H57" s="6">
        <f t="shared" si="0"/>
        <v>1400</v>
      </c>
    </row>
    <row r="58" spans="1:8" x14ac:dyDescent="0.25">
      <c r="A58" t="s">
        <v>135</v>
      </c>
      <c r="B58" t="s">
        <v>136</v>
      </c>
      <c r="C58" t="s">
        <v>9</v>
      </c>
      <c r="D58" t="s">
        <v>10</v>
      </c>
      <c r="E58" t="s">
        <v>11</v>
      </c>
      <c r="F58">
        <v>4</v>
      </c>
      <c r="G58" s="5">
        <v>45</v>
      </c>
      <c r="H58" s="6">
        <f t="shared" si="0"/>
        <v>180</v>
      </c>
    </row>
    <row r="59" spans="1:8" x14ac:dyDescent="0.25">
      <c r="A59" t="s">
        <v>137</v>
      </c>
      <c r="B59" t="s">
        <v>138</v>
      </c>
      <c r="C59" t="s">
        <v>14</v>
      </c>
      <c r="D59" t="s">
        <v>15</v>
      </c>
      <c r="E59" t="s">
        <v>16</v>
      </c>
      <c r="F59">
        <v>8</v>
      </c>
      <c r="G59" s="5">
        <v>25</v>
      </c>
      <c r="H59" s="6">
        <f t="shared" si="0"/>
        <v>200</v>
      </c>
    </row>
    <row r="60" spans="1:8" x14ac:dyDescent="0.25">
      <c r="A60" t="s">
        <v>139</v>
      </c>
      <c r="B60" t="s">
        <v>140</v>
      </c>
      <c r="C60" t="s">
        <v>20</v>
      </c>
      <c r="D60" t="s">
        <v>21</v>
      </c>
      <c r="E60" t="s">
        <v>22</v>
      </c>
      <c r="F60">
        <v>1</v>
      </c>
      <c r="G60" s="5">
        <v>1000</v>
      </c>
      <c r="H60" s="6">
        <f t="shared" si="0"/>
        <v>1000</v>
      </c>
    </row>
    <row r="61" spans="1:8" x14ac:dyDescent="0.25">
      <c r="A61" t="s">
        <v>141</v>
      </c>
      <c r="B61" t="s">
        <v>142</v>
      </c>
      <c r="C61" t="s">
        <v>25</v>
      </c>
      <c r="D61" t="s">
        <v>26</v>
      </c>
      <c r="E61" t="s">
        <v>17</v>
      </c>
      <c r="F61">
        <v>2</v>
      </c>
      <c r="G61" s="5">
        <v>750</v>
      </c>
      <c r="H61" s="6">
        <f t="shared" si="0"/>
        <v>1500</v>
      </c>
    </row>
    <row r="62" spans="1:8" x14ac:dyDescent="0.25">
      <c r="A62" t="s">
        <v>143</v>
      </c>
      <c r="B62" t="s">
        <v>144</v>
      </c>
      <c r="C62" t="s">
        <v>29</v>
      </c>
      <c r="D62" t="s">
        <v>10</v>
      </c>
      <c r="E62" t="s">
        <v>11</v>
      </c>
      <c r="F62">
        <v>2</v>
      </c>
      <c r="G62" s="5">
        <v>500</v>
      </c>
      <c r="H62" s="6">
        <f t="shared" si="0"/>
        <v>1000</v>
      </c>
    </row>
    <row r="63" spans="1:8" x14ac:dyDescent="0.25">
      <c r="A63" t="s">
        <v>145</v>
      </c>
      <c r="B63" t="s">
        <v>146</v>
      </c>
      <c r="C63" t="s">
        <v>32</v>
      </c>
      <c r="D63" t="s">
        <v>15</v>
      </c>
      <c r="E63" t="s">
        <v>16</v>
      </c>
      <c r="F63">
        <v>1</v>
      </c>
      <c r="G63" s="5">
        <v>800</v>
      </c>
      <c r="H63" s="6">
        <f t="shared" si="0"/>
        <v>800</v>
      </c>
    </row>
    <row r="64" spans="1:8" x14ac:dyDescent="0.25">
      <c r="A64" t="s">
        <v>147</v>
      </c>
      <c r="B64" t="s">
        <v>148</v>
      </c>
      <c r="C64" t="s">
        <v>35</v>
      </c>
      <c r="D64" t="s">
        <v>21</v>
      </c>
      <c r="E64" t="s">
        <v>22</v>
      </c>
      <c r="F64">
        <v>5</v>
      </c>
      <c r="G64" s="5">
        <v>50</v>
      </c>
      <c r="H64" s="6">
        <f t="shared" si="0"/>
        <v>250</v>
      </c>
    </row>
    <row r="65" spans="1:8" x14ac:dyDescent="0.25">
      <c r="A65" t="s">
        <v>149</v>
      </c>
      <c r="B65" t="s">
        <v>150</v>
      </c>
      <c r="C65" t="s">
        <v>38</v>
      </c>
      <c r="D65" t="s">
        <v>26</v>
      </c>
      <c r="E65" t="s">
        <v>17</v>
      </c>
      <c r="F65">
        <v>10</v>
      </c>
      <c r="G65" s="5">
        <v>20</v>
      </c>
      <c r="H65" s="6">
        <f t="shared" si="0"/>
        <v>200</v>
      </c>
    </row>
    <row r="66" spans="1:8" x14ac:dyDescent="0.25">
      <c r="A66" t="s">
        <v>151</v>
      </c>
      <c r="B66" t="s">
        <v>152</v>
      </c>
      <c r="C66" t="s">
        <v>9</v>
      </c>
      <c r="D66" t="s">
        <v>10</v>
      </c>
      <c r="E66" t="s">
        <v>11</v>
      </c>
      <c r="F66">
        <v>3</v>
      </c>
      <c r="G66" s="5">
        <v>600</v>
      </c>
      <c r="H66" s="6">
        <f t="shared" ref="H66:H129" si="1">(F66)*(G66)</f>
        <v>1800</v>
      </c>
    </row>
    <row r="67" spans="1:8" x14ac:dyDescent="0.25">
      <c r="A67" t="s">
        <v>153</v>
      </c>
      <c r="B67" t="s">
        <v>154</v>
      </c>
      <c r="C67" t="s">
        <v>14</v>
      </c>
      <c r="D67" t="s">
        <v>15</v>
      </c>
      <c r="E67" t="s">
        <v>16</v>
      </c>
      <c r="F67">
        <v>2</v>
      </c>
      <c r="G67" s="5">
        <v>700</v>
      </c>
      <c r="H67" s="6">
        <f t="shared" si="1"/>
        <v>1400</v>
      </c>
    </row>
    <row r="68" spans="1:8" x14ac:dyDescent="0.25">
      <c r="A68" t="s">
        <v>155</v>
      </c>
      <c r="B68" t="s">
        <v>156</v>
      </c>
      <c r="C68" t="s">
        <v>20</v>
      </c>
      <c r="D68" t="s">
        <v>21</v>
      </c>
      <c r="E68" t="s">
        <v>22</v>
      </c>
      <c r="F68">
        <v>4</v>
      </c>
      <c r="G68" s="5">
        <v>45</v>
      </c>
      <c r="H68" s="6">
        <f t="shared" si="1"/>
        <v>180</v>
      </c>
    </row>
    <row r="69" spans="1:8" x14ac:dyDescent="0.25">
      <c r="A69" t="s">
        <v>157</v>
      </c>
      <c r="B69" t="s">
        <v>158</v>
      </c>
      <c r="C69" t="s">
        <v>25</v>
      </c>
      <c r="D69" t="s">
        <v>26</v>
      </c>
      <c r="E69" t="s">
        <v>17</v>
      </c>
      <c r="F69">
        <v>8</v>
      </c>
      <c r="G69" s="5">
        <v>25</v>
      </c>
      <c r="H69" s="6">
        <f t="shared" si="1"/>
        <v>200</v>
      </c>
    </row>
    <row r="70" spans="1:8" x14ac:dyDescent="0.25">
      <c r="A70" t="s">
        <v>159</v>
      </c>
      <c r="B70" t="s">
        <v>160</v>
      </c>
      <c r="C70" t="s">
        <v>29</v>
      </c>
      <c r="D70" t="s">
        <v>10</v>
      </c>
      <c r="E70" t="s">
        <v>11</v>
      </c>
      <c r="F70">
        <v>1</v>
      </c>
      <c r="G70" s="5">
        <v>1000</v>
      </c>
      <c r="H70" s="6">
        <f t="shared" si="1"/>
        <v>1000</v>
      </c>
    </row>
    <row r="71" spans="1:8" x14ac:dyDescent="0.25">
      <c r="A71" t="s">
        <v>161</v>
      </c>
      <c r="B71" t="s">
        <v>162</v>
      </c>
      <c r="C71" t="s">
        <v>32</v>
      </c>
      <c r="D71" t="s">
        <v>15</v>
      </c>
      <c r="E71" t="s">
        <v>16</v>
      </c>
      <c r="F71">
        <v>2</v>
      </c>
      <c r="G71" s="5">
        <v>750</v>
      </c>
      <c r="H71" s="6">
        <f t="shared" si="1"/>
        <v>1500</v>
      </c>
    </row>
    <row r="72" spans="1:8" x14ac:dyDescent="0.25">
      <c r="A72" t="s">
        <v>163</v>
      </c>
      <c r="B72" t="s">
        <v>164</v>
      </c>
      <c r="C72" t="s">
        <v>35</v>
      </c>
      <c r="D72" t="s">
        <v>21</v>
      </c>
      <c r="E72" t="s">
        <v>22</v>
      </c>
      <c r="F72">
        <v>2</v>
      </c>
      <c r="G72" s="5">
        <v>500</v>
      </c>
      <c r="H72" s="6">
        <f t="shared" si="1"/>
        <v>1000</v>
      </c>
    </row>
    <row r="73" spans="1:8" x14ac:dyDescent="0.25">
      <c r="A73" t="s">
        <v>165</v>
      </c>
      <c r="B73" t="s">
        <v>166</v>
      </c>
      <c r="C73" t="s">
        <v>38</v>
      </c>
      <c r="D73" t="s">
        <v>26</v>
      </c>
      <c r="E73" t="s">
        <v>17</v>
      </c>
      <c r="F73">
        <v>1</v>
      </c>
      <c r="G73" s="5">
        <v>800</v>
      </c>
      <c r="H73" s="6">
        <f t="shared" si="1"/>
        <v>800</v>
      </c>
    </row>
    <row r="74" spans="1:8" x14ac:dyDescent="0.25">
      <c r="A74" t="s">
        <v>167</v>
      </c>
      <c r="B74" t="s">
        <v>168</v>
      </c>
      <c r="C74" t="s">
        <v>9</v>
      </c>
      <c r="D74" t="s">
        <v>10</v>
      </c>
      <c r="E74" t="s">
        <v>11</v>
      </c>
      <c r="F74">
        <v>5</v>
      </c>
      <c r="G74" s="5">
        <v>50</v>
      </c>
      <c r="H74" s="6">
        <f t="shared" si="1"/>
        <v>250</v>
      </c>
    </row>
    <row r="75" spans="1:8" x14ac:dyDescent="0.25">
      <c r="A75" t="s">
        <v>169</v>
      </c>
      <c r="B75" t="s">
        <v>170</v>
      </c>
      <c r="C75" t="s">
        <v>14</v>
      </c>
      <c r="D75" t="s">
        <v>15</v>
      </c>
      <c r="E75" t="s">
        <v>16</v>
      </c>
      <c r="F75">
        <v>10</v>
      </c>
      <c r="G75" s="5">
        <v>20</v>
      </c>
      <c r="H75" s="6">
        <f t="shared" si="1"/>
        <v>200</v>
      </c>
    </row>
    <row r="76" spans="1:8" x14ac:dyDescent="0.25">
      <c r="A76" t="s">
        <v>171</v>
      </c>
      <c r="B76" t="s">
        <v>172</v>
      </c>
      <c r="C76" t="s">
        <v>20</v>
      </c>
      <c r="D76" t="s">
        <v>21</v>
      </c>
      <c r="E76" t="s">
        <v>22</v>
      </c>
      <c r="F76">
        <v>3</v>
      </c>
      <c r="G76" s="5">
        <v>600</v>
      </c>
      <c r="H76" s="6">
        <f t="shared" si="1"/>
        <v>1800</v>
      </c>
    </row>
    <row r="77" spans="1:8" x14ac:dyDescent="0.25">
      <c r="A77" t="s">
        <v>173</v>
      </c>
      <c r="B77" t="s">
        <v>174</v>
      </c>
      <c r="C77" t="s">
        <v>25</v>
      </c>
      <c r="D77" t="s">
        <v>26</v>
      </c>
      <c r="E77" t="s">
        <v>17</v>
      </c>
      <c r="F77">
        <v>2</v>
      </c>
      <c r="G77" s="5">
        <v>700</v>
      </c>
      <c r="H77" s="6">
        <f t="shared" si="1"/>
        <v>1400</v>
      </c>
    </row>
    <row r="78" spans="1:8" x14ac:dyDescent="0.25">
      <c r="A78" t="s">
        <v>175</v>
      </c>
      <c r="B78" t="s">
        <v>176</v>
      </c>
      <c r="C78" t="s">
        <v>29</v>
      </c>
      <c r="D78" t="s">
        <v>10</v>
      </c>
      <c r="E78" t="s">
        <v>11</v>
      </c>
      <c r="F78">
        <v>4</v>
      </c>
      <c r="G78" s="5">
        <v>45</v>
      </c>
      <c r="H78" s="6">
        <f t="shared" si="1"/>
        <v>180</v>
      </c>
    </row>
    <row r="79" spans="1:8" x14ac:dyDescent="0.25">
      <c r="A79" t="s">
        <v>177</v>
      </c>
      <c r="B79" t="s">
        <v>178</v>
      </c>
      <c r="C79" t="s">
        <v>32</v>
      </c>
      <c r="D79" t="s">
        <v>15</v>
      </c>
      <c r="E79" t="s">
        <v>16</v>
      </c>
      <c r="F79">
        <v>8</v>
      </c>
      <c r="G79" s="5">
        <v>25</v>
      </c>
      <c r="H79" s="6">
        <f t="shared" si="1"/>
        <v>200</v>
      </c>
    </row>
    <row r="80" spans="1:8" x14ac:dyDescent="0.25">
      <c r="A80" t="s">
        <v>179</v>
      </c>
      <c r="B80" t="s">
        <v>180</v>
      </c>
      <c r="C80" t="s">
        <v>35</v>
      </c>
      <c r="D80" t="s">
        <v>21</v>
      </c>
      <c r="E80" t="s">
        <v>22</v>
      </c>
      <c r="F80">
        <v>1</v>
      </c>
      <c r="G80" s="5">
        <v>1000</v>
      </c>
      <c r="H80" s="6">
        <f t="shared" si="1"/>
        <v>1000</v>
      </c>
    </row>
    <row r="81" spans="1:8" x14ac:dyDescent="0.25">
      <c r="A81" t="s">
        <v>181</v>
      </c>
      <c r="B81" t="s">
        <v>182</v>
      </c>
      <c r="C81" t="s">
        <v>38</v>
      </c>
      <c r="D81" t="s">
        <v>26</v>
      </c>
      <c r="E81" t="s">
        <v>17</v>
      </c>
      <c r="F81">
        <v>2</v>
      </c>
      <c r="G81" s="5">
        <v>750</v>
      </c>
      <c r="H81" s="6">
        <f t="shared" si="1"/>
        <v>1500</v>
      </c>
    </row>
    <row r="82" spans="1:8" x14ac:dyDescent="0.25">
      <c r="A82" t="s">
        <v>183</v>
      </c>
      <c r="B82" t="s">
        <v>184</v>
      </c>
      <c r="C82" t="s">
        <v>9</v>
      </c>
      <c r="D82" t="s">
        <v>10</v>
      </c>
      <c r="E82" t="s">
        <v>11</v>
      </c>
      <c r="F82">
        <v>2</v>
      </c>
      <c r="G82" s="5">
        <v>500</v>
      </c>
      <c r="H82" s="6">
        <f t="shared" si="1"/>
        <v>1000</v>
      </c>
    </row>
    <row r="83" spans="1:8" x14ac:dyDescent="0.25">
      <c r="A83" t="s">
        <v>185</v>
      </c>
      <c r="B83" t="s">
        <v>186</v>
      </c>
      <c r="C83" t="s">
        <v>14</v>
      </c>
      <c r="D83" t="s">
        <v>15</v>
      </c>
      <c r="E83" t="s">
        <v>16</v>
      </c>
      <c r="F83">
        <v>1</v>
      </c>
      <c r="G83" s="5">
        <v>800</v>
      </c>
      <c r="H83" s="6">
        <f t="shared" si="1"/>
        <v>800</v>
      </c>
    </row>
    <row r="84" spans="1:8" x14ac:dyDescent="0.25">
      <c r="A84" t="s">
        <v>187</v>
      </c>
      <c r="B84" t="s">
        <v>188</v>
      </c>
      <c r="C84" t="s">
        <v>20</v>
      </c>
      <c r="D84" t="s">
        <v>21</v>
      </c>
      <c r="E84" t="s">
        <v>22</v>
      </c>
      <c r="F84">
        <v>5</v>
      </c>
      <c r="G84" s="5">
        <v>50</v>
      </c>
      <c r="H84" s="6">
        <f t="shared" si="1"/>
        <v>250</v>
      </c>
    </row>
    <row r="85" spans="1:8" x14ac:dyDescent="0.25">
      <c r="A85" t="s">
        <v>189</v>
      </c>
      <c r="B85" t="s">
        <v>190</v>
      </c>
      <c r="C85" t="s">
        <v>25</v>
      </c>
      <c r="D85" t="s">
        <v>26</v>
      </c>
      <c r="E85" t="s">
        <v>17</v>
      </c>
      <c r="F85">
        <v>10</v>
      </c>
      <c r="G85" s="5">
        <v>20</v>
      </c>
      <c r="H85" s="6">
        <f t="shared" si="1"/>
        <v>200</v>
      </c>
    </row>
    <row r="86" spans="1:8" x14ac:dyDescent="0.25">
      <c r="A86" t="s">
        <v>191</v>
      </c>
      <c r="B86" t="s">
        <v>192</v>
      </c>
      <c r="C86" t="s">
        <v>29</v>
      </c>
      <c r="D86" t="s">
        <v>10</v>
      </c>
      <c r="E86" t="s">
        <v>11</v>
      </c>
      <c r="F86">
        <v>3</v>
      </c>
      <c r="G86" s="5">
        <v>600</v>
      </c>
      <c r="H86" s="6">
        <f t="shared" si="1"/>
        <v>1800</v>
      </c>
    </row>
    <row r="87" spans="1:8" x14ac:dyDescent="0.25">
      <c r="A87" t="s">
        <v>193</v>
      </c>
      <c r="B87" t="s">
        <v>194</v>
      </c>
      <c r="C87" t="s">
        <v>32</v>
      </c>
      <c r="D87" t="s">
        <v>15</v>
      </c>
      <c r="E87" t="s">
        <v>16</v>
      </c>
      <c r="F87">
        <v>2</v>
      </c>
      <c r="G87" s="5">
        <v>700</v>
      </c>
      <c r="H87" s="6">
        <f t="shared" si="1"/>
        <v>1400</v>
      </c>
    </row>
    <row r="88" spans="1:8" x14ac:dyDescent="0.25">
      <c r="A88" t="s">
        <v>195</v>
      </c>
      <c r="B88" t="s">
        <v>196</v>
      </c>
      <c r="C88" t="s">
        <v>35</v>
      </c>
      <c r="D88" t="s">
        <v>21</v>
      </c>
      <c r="E88" t="s">
        <v>22</v>
      </c>
      <c r="F88">
        <v>4</v>
      </c>
      <c r="G88" s="5">
        <v>45</v>
      </c>
      <c r="H88" s="6">
        <f t="shared" si="1"/>
        <v>180</v>
      </c>
    </row>
    <row r="89" spans="1:8" x14ac:dyDescent="0.25">
      <c r="A89" t="s">
        <v>197</v>
      </c>
      <c r="B89" t="s">
        <v>198</v>
      </c>
      <c r="C89" t="s">
        <v>38</v>
      </c>
      <c r="D89" t="s">
        <v>26</v>
      </c>
      <c r="E89" t="s">
        <v>17</v>
      </c>
      <c r="F89">
        <v>8</v>
      </c>
      <c r="G89" s="5">
        <v>25</v>
      </c>
      <c r="H89" s="6">
        <f t="shared" si="1"/>
        <v>200</v>
      </c>
    </row>
    <row r="90" spans="1:8" x14ac:dyDescent="0.25">
      <c r="A90" t="s">
        <v>199</v>
      </c>
      <c r="B90" t="s">
        <v>200</v>
      </c>
      <c r="C90" t="s">
        <v>9</v>
      </c>
      <c r="D90" t="s">
        <v>10</v>
      </c>
      <c r="E90" t="s">
        <v>11</v>
      </c>
      <c r="F90">
        <v>1</v>
      </c>
      <c r="G90" s="5">
        <v>1000</v>
      </c>
      <c r="H90" s="6">
        <f t="shared" si="1"/>
        <v>1000</v>
      </c>
    </row>
    <row r="91" spans="1:8" x14ac:dyDescent="0.25">
      <c r="A91" t="s">
        <v>201</v>
      </c>
      <c r="B91" t="s">
        <v>202</v>
      </c>
      <c r="C91" t="s">
        <v>14</v>
      </c>
      <c r="D91" t="s">
        <v>15</v>
      </c>
      <c r="E91" t="s">
        <v>16</v>
      </c>
      <c r="F91">
        <v>2</v>
      </c>
      <c r="G91" s="5">
        <v>750</v>
      </c>
      <c r="H91" s="6">
        <f t="shared" si="1"/>
        <v>1500</v>
      </c>
    </row>
    <row r="92" spans="1:8" x14ac:dyDescent="0.25">
      <c r="A92" t="s">
        <v>203</v>
      </c>
      <c r="B92" t="s">
        <v>204</v>
      </c>
      <c r="C92" t="s">
        <v>20</v>
      </c>
      <c r="D92" t="s">
        <v>21</v>
      </c>
      <c r="E92" t="s">
        <v>22</v>
      </c>
      <c r="F92">
        <v>2</v>
      </c>
      <c r="G92" s="5">
        <v>500</v>
      </c>
      <c r="H92" s="6">
        <f t="shared" si="1"/>
        <v>1000</v>
      </c>
    </row>
    <row r="93" spans="1:8" x14ac:dyDescent="0.25">
      <c r="A93" t="s">
        <v>205</v>
      </c>
      <c r="B93" t="s">
        <v>206</v>
      </c>
      <c r="C93" t="s">
        <v>25</v>
      </c>
      <c r="D93" t="s">
        <v>26</v>
      </c>
      <c r="E93" t="s">
        <v>17</v>
      </c>
      <c r="F93">
        <v>1</v>
      </c>
      <c r="G93" s="5">
        <v>800</v>
      </c>
      <c r="H93" s="6">
        <f t="shared" si="1"/>
        <v>800</v>
      </c>
    </row>
    <row r="94" spans="1:8" x14ac:dyDescent="0.25">
      <c r="A94" t="s">
        <v>207</v>
      </c>
      <c r="B94" t="s">
        <v>208</v>
      </c>
      <c r="C94" t="s">
        <v>29</v>
      </c>
      <c r="D94" t="s">
        <v>10</v>
      </c>
      <c r="E94" t="s">
        <v>11</v>
      </c>
      <c r="F94">
        <v>5</v>
      </c>
      <c r="G94" s="5">
        <v>50</v>
      </c>
      <c r="H94" s="6">
        <f t="shared" si="1"/>
        <v>250</v>
      </c>
    </row>
    <row r="95" spans="1:8" x14ac:dyDescent="0.25">
      <c r="A95" t="s">
        <v>209</v>
      </c>
      <c r="B95" t="s">
        <v>210</v>
      </c>
      <c r="C95" t="s">
        <v>32</v>
      </c>
      <c r="D95" t="s">
        <v>15</v>
      </c>
      <c r="E95" t="s">
        <v>16</v>
      </c>
      <c r="F95">
        <v>10</v>
      </c>
      <c r="G95" s="5">
        <v>20</v>
      </c>
      <c r="H95" s="6">
        <f t="shared" si="1"/>
        <v>200</v>
      </c>
    </row>
    <row r="96" spans="1:8" x14ac:dyDescent="0.25">
      <c r="A96" t="s">
        <v>211</v>
      </c>
      <c r="B96" t="s">
        <v>212</v>
      </c>
      <c r="C96" t="s">
        <v>35</v>
      </c>
      <c r="D96" t="s">
        <v>21</v>
      </c>
      <c r="E96" t="s">
        <v>22</v>
      </c>
      <c r="F96">
        <v>3</v>
      </c>
      <c r="G96" s="5">
        <v>600</v>
      </c>
      <c r="H96" s="6">
        <f t="shared" si="1"/>
        <v>1800</v>
      </c>
    </row>
    <row r="97" spans="1:8" x14ac:dyDescent="0.25">
      <c r="A97" t="s">
        <v>213</v>
      </c>
      <c r="B97" t="s">
        <v>214</v>
      </c>
      <c r="C97" t="s">
        <v>38</v>
      </c>
      <c r="D97" t="s">
        <v>26</v>
      </c>
      <c r="E97" t="s">
        <v>17</v>
      </c>
      <c r="F97">
        <v>2</v>
      </c>
      <c r="G97" s="5">
        <v>700</v>
      </c>
      <c r="H97" s="6">
        <f t="shared" si="1"/>
        <v>1400</v>
      </c>
    </row>
    <row r="98" spans="1:8" x14ac:dyDescent="0.25">
      <c r="A98" t="s">
        <v>215</v>
      </c>
      <c r="B98" t="s">
        <v>216</v>
      </c>
      <c r="C98" t="s">
        <v>9</v>
      </c>
      <c r="D98" t="s">
        <v>10</v>
      </c>
      <c r="E98" t="s">
        <v>11</v>
      </c>
      <c r="F98">
        <v>4</v>
      </c>
      <c r="G98" s="5">
        <v>45</v>
      </c>
      <c r="H98" s="6">
        <f t="shared" si="1"/>
        <v>180</v>
      </c>
    </row>
    <row r="99" spans="1:8" x14ac:dyDescent="0.25">
      <c r="A99" t="s">
        <v>217</v>
      </c>
      <c r="B99" t="s">
        <v>218</v>
      </c>
      <c r="C99" t="s">
        <v>14</v>
      </c>
      <c r="D99" t="s">
        <v>15</v>
      </c>
      <c r="E99" t="s">
        <v>16</v>
      </c>
      <c r="F99">
        <v>8</v>
      </c>
      <c r="G99" s="5">
        <v>25</v>
      </c>
      <c r="H99" s="6">
        <f t="shared" si="1"/>
        <v>200</v>
      </c>
    </row>
    <row r="100" spans="1:8" x14ac:dyDescent="0.25">
      <c r="A100" t="s">
        <v>219</v>
      </c>
      <c r="B100" t="s">
        <v>220</v>
      </c>
      <c r="C100" t="s">
        <v>20</v>
      </c>
      <c r="D100" t="s">
        <v>21</v>
      </c>
      <c r="E100" t="s">
        <v>22</v>
      </c>
      <c r="F100">
        <v>1</v>
      </c>
      <c r="G100" s="5">
        <v>1000</v>
      </c>
      <c r="H100" s="6">
        <f t="shared" si="1"/>
        <v>1000</v>
      </c>
    </row>
    <row r="101" spans="1:8" x14ac:dyDescent="0.25">
      <c r="A101" t="s">
        <v>221</v>
      </c>
      <c r="B101" t="s">
        <v>222</v>
      </c>
      <c r="C101" t="s">
        <v>25</v>
      </c>
      <c r="D101" t="s">
        <v>26</v>
      </c>
      <c r="E101" t="s">
        <v>17</v>
      </c>
      <c r="F101">
        <v>2</v>
      </c>
      <c r="G101" s="5">
        <v>750</v>
      </c>
      <c r="H101" s="6">
        <f t="shared" si="1"/>
        <v>1500</v>
      </c>
    </row>
    <row r="102" spans="1:8" x14ac:dyDescent="0.25">
      <c r="A102" t="s">
        <v>223</v>
      </c>
      <c r="B102" t="s">
        <v>224</v>
      </c>
      <c r="C102" t="s">
        <v>29</v>
      </c>
      <c r="D102" t="s">
        <v>10</v>
      </c>
      <c r="E102" t="s">
        <v>11</v>
      </c>
      <c r="F102">
        <v>2</v>
      </c>
      <c r="G102" s="5">
        <v>500</v>
      </c>
      <c r="H102" s="6">
        <f t="shared" si="1"/>
        <v>1000</v>
      </c>
    </row>
    <row r="103" spans="1:8" x14ac:dyDescent="0.25">
      <c r="A103" t="s">
        <v>225</v>
      </c>
      <c r="B103" t="s">
        <v>226</v>
      </c>
      <c r="C103" t="s">
        <v>32</v>
      </c>
      <c r="D103" t="s">
        <v>15</v>
      </c>
      <c r="E103" t="s">
        <v>16</v>
      </c>
      <c r="F103">
        <v>1</v>
      </c>
      <c r="G103" s="5">
        <v>800</v>
      </c>
      <c r="H103" s="6">
        <f t="shared" si="1"/>
        <v>800</v>
      </c>
    </row>
    <row r="104" spans="1:8" x14ac:dyDescent="0.25">
      <c r="A104" t="s">
        <v>227</v>
      </c>
      <c r="B104" t="s">
        <v>228</v>
      </c>
      <c r="C104" t="s">
        <v>35</v>
      </c>
      <c r="D104" t="s">
        <v>21</v>
      </c>
      <c r="E104" t="s">
        <v>22</v>
      </c>
      <c r="F104">
        <v>5</v>
      </c>
      <c r="G104" s="5">
        <v>50</v>
      </c>
      <c r="H104" s="6">
        <f t="shared" si="1"/>
        <v>250</v>
      </c>
    </row>
    <row r="105" spans="1:8" x14ac:dyDescent="0.25">
      <c r="A105" t="s">
        <v>229</v>
      </c>
      <c r="B105" t="s">
        <v>230</v>
      </c>
      <c r="C105" t="s">
        <v>38</v>
      </c>
      <c r="D105" t="s">
        <v>26</v>
      </c>
      <c r="E105" t="s">
        <v>17</v>
      </c>
      <c r="F105">
        <v>10</v>
      </c>
      <c r="G105" s="5">
        <v>20</v>
      </c>
      <c r="H105" s="6">
        <f t="shared" si="1"/>
        <v>200</v>
      </c>
    </row>
    <row r="106" spans="1:8" x14ac:dyDescent="0.25">
      <c r="A106" t="s">
        <v>231</v>
      </c>
      <c r="B106" t="s">
        <v>232</v>
      </c>
      <c r="C106" t="s">
        <v>9</v>
      </c>
      <c r="D106" t="s">
        <v>10</v>
      </c>
      <c r="E106" t="s">
        <v>11</v>
      </c>
      <c r="F106">
        <v>3</v>
      </c>
      <c r="G106" s="5">
        <v>600</v>
      </c>
      <c r="H106" s="6">
        <f t="shared" si="1"/>
        <v>1800</v>
      </c>
    </row>
    <row r="107" spans="1:8" x14ac:dyDescent="0.25">
      <c r="A107" t="s">
        <v>233</v>
      </c>
      <c r="B107" t="s">
        <v>234</v>
      </c>
      <c r="C107" t="s">
        <v>14</v>
      </c>
      <c r="D107" t="s">
        <v>15</v>
      </c>
      <c r="E107" t="s">
        <v>16</v>
      </c>
      <c r="F107">
        <v>2</v>
      </c>
      <c r="G107" s="5">
        <v>700</v>
      </c>
      <c r="H107" s="6">
        <f t="shared" si="1"/>
        <v>1400</v>
      </c>
    </row>
    <row r="108" spans="1:8" x14ac:dyDescent="0.25">
      <c r="A108" t="s">
        <v>235</v>
      </c>
      <c r="B108" t="s">
        <v>236</v>
      </c>
      <c r="C108" t="s">
        <v>20</v>
      </c>
      <c r="D108" t="s">
        <v>21</v>
      </c>
      <c r="E108" t="s">
        <v>22</v>
      </c>
      <c r="F108">
        <v>4</v>
      </c>
      <c r="G108" s="5">
        <v>45</v>
      </c>
      <c r="H108" s="6">
        <f t="shared" si="1"/>
        <v>180</v>
      </c>
    </row>
    <row r="109" spans="1:8" x14ac:dyDescent="0.25">
      <c r="A109" t="s">
        <v>237</v>
      </c>
      <c r="B109" t="s">
        <v>238</v>
      </c>
      <c r="C109" t="s">
        <v>25</v>
      </c>
      <c r="D109" t="s">
        <v>26</v>
      </c>
      <c r="E109" t="s">
        <v>17</v>
      </c>
      <c r="F109">
        <v>8</v>
      </c>
      <c r="G109" s="5">
        <v>25</v>
      </c>
      <c r="H109" s="6">
        <f t="shared" si="1"/>
        <v>200</v>
      </c>
    </row>
    <row r="110" spans="1:8" x14ac:dyDescent="0.25">
      <c r="A110" t="s">
        <v>239</v>
      </c>
      <c r="B110" t="s">
        <v>240</v>
      </c>
      <c r="C110" t="s">
        <v>29</v>
      </c>
      <c r="D110" t="s">
        <v>10</v>
      </c>
      <c r="E110" t="s">
        <v>11</v>
      </c>
      <c r="F110">
        <v>1</v>
      </c>
      <c r="G110" s="5">
        <v>1000</v>
      </c>
      <c r="H110" s="6">
        <f t="shared" si="1"/>
        <v>1000</v>
      </c>
    </row>
    <row r="111" spans="1:8" x14ac:dyDescent="0.25">
      <c r="A111" t="s">
        <v>241</v>
      </c>
      <c r="B111" t="s">
        <v>242</v>
      </c>
      <c r="C111" t="s">
        <v>32</v>
      </c>
      <c r="D111" t="s">
        <v>15</v>
      </c>
      <c r="E111" t="s">
        <v>16</v>
      </c>
      <c r="F111">
        <v>2</v>
      </c>
      <c r="G111" s="5">
        <v>750</v>
      </c>
      <c r="H111" s="6">
        <f t="shared" si="1"/>
        <v>1500</v>
      </c>
    </row>
    <row r="112" spans="1:8" x14ac:dyDescent="0.25">
      <c r="A112" t="s">
        <v>243</v>
      </c>
      <c r="B112" t="s">
        <v>244</v>
      </c>
      <c r="C112" t="s">
        <v>35</v>
      </c>
      <c r="D112" t="s">
        <v>21</v>
      </c>
      <c r="E112" t="s">
        <v>22</v>
      </c>
      <c r="F112">
        <v>2</v>
      </c>
      <c r="G112" s="5">
        <v>500</v>
      </c>
      <c r="H112" s="6">
        <f t="shared" si="1"/>
        <v>1000</v>
      </c>
    </row>
    <row r="113" spans="1:8" x14ac:dyDescent="0.25">
      <c r="A113" t="s">
        <v>245</v>
      </c>
      <c r="B113" t="s">
        <v>246</v>
      </c>
      <c r="C113" t="s">
        <v>38</v>
      </c>
      <c r="D113" t="s">
        <v>26</v>
      </c>
      <c r="E113" t="s">
        <v>17</v>
      </c>
      <c r="F113">
        <v>1</v>
      </c>
      <c r="G113" s="5">
        <v>800</v>
      </c>
      <c r="H113" s="6">
        <f t="shared" si="1"/>
        <v>800</v>
      </c>
    </row>
    <row r="114" spans="1:8" x14ac:dyDescent="0.25">
      <c r="A114" t="s">
        <v>247</v>
      </c>
      <c r="B114" t="s">
        <v>248</v>
      </c>
      <c r="C114" t="s">
        <v>9</v>
      </c>
      <c r="D114" t="s">
        <v>10</v>
      </c>
      <c r="E114" t="s">
        <v>11</v>
      </c>
      <c r="F114">
        <v>5</v>
      </c>
      <c r="G114" s="5">
        <v>50</v>
      </c>
      <c r="H114" s="6">
        <f t="shared" si="1"/>
        <v>250</v>
      </c>
    </row>
    <row r="115" spans="1:8" x14ac:dyDescent="0.25">
      <c r="A115" t="s">
        <v>249</v>
      </c>
      <c r="B115" t="s">
        <v>250</v>
      </c>
      <c r="C115" t="s">
        <v>14</v>
      </c>
      <c r="D115" t="s">
        <v>15</v>
      </c>
      <c r="E115" t="s">
        <v>16</v>
      </c>
      <c r="F115">
        <v>10</v>
      </c>
      <c r="G115" s="5">
        <v>20</v>
      </c>
      <c r="H115" s="6">
        <f t="shared" si="1"/>
        <v>200</v>
      </c>
    </row>
    <row r="116" spans="1:8" x14ac:dyDescent="0.25">
      <c r="A116" t="s">
        <v>251</v>
      </c>
      <c r="B116" t="s">
        <v>252</v>
      </c>
      <c r="C116" t="s">
        <v>20</v>
      </c>
      <c r="D116" t="s">
        <v>21</v>
      </c>
      <c r="E116" t="s">
        <v>22</v>
      </c>
      <c r="F116">
        <v>3</v>
      </c>
      <c r="G116" s="5">
        <v>600</v>
      </c>
      <c r="H116" s="6">
        <f t="shared" si="1"/>
        <v>1800</v>
      </c>
    </row>
    <row r="117" spans="1:8" x14ac:dyDescent="0.25">
      <c r="A117" t="s">
        <v>253</v>
      </c>
      <c r="B117" t="s">
        <v>254</v>
      </c>
      <c r="C117" t="s">
        <v>25</v>
      </c>
      <c r="D117" t="s">
        <v>26</v>
      </c>
      <c r="E117" t="s">
        <v>17</v>
      </c>
      <c r="F117">
        <v>2</v>
      </c>
      <c r="G117" s="5">
        <v>700</v>
      </c>
      <c r="H117" s="6">
        <f t="shared" si="1"/>
        <v>1400</v>
      </c>
    </row>
    <row r="118" spans="1:8" x14ac:dyDescent="0.25">
      <c r="A118" t="s">
        <v>255</v>
      </c>
      <c r="B118" t="s">
        <v>256</v>
      </c>
      <c r="C118" t="s">
        <v>29</v>
      </c>
      <c r="D118" t="s">
        <v>10</v>
      </c>
      <c r="E118" t="s">
        <v>11</v>
      </c>
      <c r="F118">
        <v>4</v>
      </c>
      <c r="G118" s="5">
        <v>45</v>
      </c>
      <c r="H118" s="6">
        <f t="shared" si="1"/>
        <v>180</v>
      </c>
    </row>
    <row r="119" spans="1:8" x14ac:dyDescent="0.25">
      <c r="A119" t="s">
        <v>257</v>
      </c>
      <c r="B119" t="s">
        <v>258</v>
      </c>
      <c r="C119" t="s">
        <v>32</v>
      </c>
      <c r="D119" t="s">
        <v>15</v>
      </c>
      <c r="E119" t="s">
        <v>16</v>
      </c>
      <c r="F119">
        <v>8</v>
      </c>
      <c r="G119" s="5">
        <v>25</v>
      </c>
      <c r="H119" s="6">
        <f t="shared" si="1"/>
        <v>200</v>
      </c>
    </row>
    <row r="120" spans="1:8" x14ac:dyDescent="0.25">
      <c r="A120" t="s">
        <v>259</v>
      </c>
      <c r="B120" t="s">
        <v>260</v>
      </c>
      <c r="C120" t="s">
        <v>35</v>
      </c>
      <c r="D120" t="s">
        <v>21</v>
      </c>
      <c r="E120" t="s">
        <v>22</v>
      </c>
      <c r="F120">
        <v>1</v>
      </c>
      <c r="G120" s="5">
        <v>1000</v>
      </c>
      <c r="H120" s="6">
        <f t="shared" si="1"/>
        <v>1000</v>
      </c>
    </row>
    <row r="121" spans="1:8" x14ac:dyDescent="0.25">
      <c r="A121" t="s">
        <v>261</v>
      </c>
      <c r="B121" t="s">
        <v>262</v>
      </c>
      <c r="C121" t="s">
        <v>38</v>
      </c>
      <c r="D121" t="s">
        <v>26</v>
      </c>
      <c r="E121" t="s">
        <v>17</v>
      </c>
      <c r="F121">
        <v>2</v>
      </c>
      <c r="G121" s="5">
        <v>750</v>
      </c>
      <c r="H121" s="6">
        <f t="shared" si="1"/>
        <v>1500</v>
      </c>
    </row>
    <row r="122" spans="1:8" x14ac:dyDescent="0.25">
      <c r="A122" t="s">
        <v>263</v>
      </c>
      <c r="B122" t="s">
        <v>264</v>
      </c>
      <c r="C122" t="s">
        <v>9</v>
      </c>
      <c r="D122" t="s">
        <v>10</v>
      </c>
      <c r="E122" t="s">
        <v>11</v>
      </c>
      <c r="F122">
        <v>2</v>
      </c>
      <c r="G122" s="5">
        <v>500</v>
      </c>
      <c r="H122" s="6">
        <f t="shared" si="1"/>
        <v>1000</v>
      </c>
    </row>
    <row r="123" spans="1:8" x14ac:dyDescent="0.25">
      <c r="A123" t="s">
        <v>265</v>
      </c>
      <c r="B123" t="s">
        <v>266</v>
      </c>
      <c r="C123" t="s">
        <v>14</v>
      </c>
      <c r="D123" t="s">
        <v>15</v>
      </c>
      <c r="E123" t="s">
        <v>16</v>
      </c>
      <c r="F123">
        <v>1</v>
      </c>
      <c r="G123" s="5">
        <v>800</v>
      </c>
      <c r="H123" s="6">
        <f t="shared" si="1"/>
        <v>800</v>
      </c>
    </row>
    <row r="124" spans="1:8" x14ac:dyDescent="0.25">
      <c r="A124" t="s">
        <v>267</v>
      </c>
      <c r="B124" t="s">
        <v>268</v>
      </c>
      <c r="C124" t="s">
        <v>20</v>
      </c>
      <c r="D124" t="s">
        <v>21</v>
      </c>
      <c r="E124" t="s">
        <v>22</v>
      </c>
      <c r="F124">
        <v>5</v>
      </c>
      <c r="G124" s="5">
        <v>50</v>
      </c>
      <c r="H124" s="6">
        <f t="shared" si="1"/>
        <v>250</v>
      </c>
    </row>
    <row r="125" spans="1:8" x14ac:dyDescent="0.25">
      <c r="A125" t="s">
        <v>269</v>
      </c>
      <c r="B125" t="s">
        <v>270</v>
      </c>
      <c r="C125" t="s">
        <v>25</v>
      </c>
      <c r="D125" t="s">
        <v>26</v>
      </c>
      <c r="E125" t="s">
        <v>17</v>
      </c>
      <c r="F125">
        <v>10</v>
      </c>
      <c r="G125" s="5">
        <v>20</v>
      </c>
      <c r="H125" s="6">
        <f t="shared" si="1"/>
        <v>200</v>
      </c>
    </row>
    <row r="126" spans="1:8" x14ac:dyDescent="0.25">
      <c r="A126" t="s">
        <v>271</v>
      </c>
      <c r="B126" t="s">
        <v>272</v>
      </c>
      <c r="C126" t="s">
        <v>29</v>
      </c>
      <c r="D126" t="s">
        <v>10</v>
      </c>
      <c r="E126" t="s">
        <v>11</v>
      </c>
      <c r="F126">
        <v>3</v>
      </c>
      <c r="G126" s="5">
        <v>600</v>
      </c>
      <c r="H126" s="6">
        <f t="shared" si="1"/>
        <v>1800</v>
      </c>
    </row>
    <row r="127" spans="1:8" x14ac:dyDescent="0.25">
      <c r="A127" t="s">
        <v>273</v>
      </c>
      <c r="B127" t="s">
        <v>274</v>
      </c>
      <c r="C127" t="s">
        <v>32</v>
      </c>
      <c r="D127" t="s">
        <v>15</v>
      </c>
      <c r="E127" t="s">
        <v>16</v>
      </c>
      <c r="F127">
        <v>2</v>
      </c>
      <c r="G127" s="5">
        <v>700</v>
      </c>
      <c r="H127" s="6">
        <f t="shared" si="1"/>
        <v>1400</v>
      </c>
    </row>
    <row r="128" spans="1:8" x14ac:dyDescent="0.25">
      <c r="A128" t="s">
        <v>275</v>
      </c>
      <c r="B128" t="s">
        <v>276</v>
      </c>
      <c r="C128" t="s">
        <v>35</v>
      </c>
      <c r="D128" t="s">
        <v>21</v>
      </c>
      <c r="E128" t="s">
        <v>22</v>
      </c>
      <c r="F128">
        <v>4</v>
      </c>
      <c r="G128" s="5">
        <v>45</v>
      </c>
      <c r="H128" s="6">
        <f t="shared" si="1"/>
        <v>180</v>
      </c>
    </row>
    <row r="129" spans="1:8" x14ac:dyDescent="0.25">
      <c r="A129" t="s">
        <v>277</v>
      </c>
      <c r="B129" t="s">
        <v>278</v>
      </c>
      <c r="C129" t="s">
        <v>38</v>
      </c>
      <c r="D129" t="s">
        <v>26</v>
      </c>
      <c r="E129" t="s">
        <v>17</v>
      </c>
      <c r="F129">
        <v>8</v>
      </c>
      <c r="G129" s="5">
        <v>25</v>
      </c>
      <c r="H129" s="6">
        <f t="shared" si="1"/>
        <v>200</v>
      </c>
    </row>
    <row r="130" spans="1:8" x14ac:dyDescent="0.25">
      <c r="A130" t="s">
        <v>279</v>
      </c>
      <c r="B130" t="s">
        <v>280</v>
      </c>
      <c r="C130" t="s">
        <v>9</v>
      </c>
      <c r="D130" t="s">
        <v>10</v>
      </c>
      <c r="E130" t="s">
        <v>11</v>
      </c>
      <c r="F130">
        <v>1</v>
      </c>
      <c r="G130" s="5">
        <v>1000</v>
      </c>
      <c r="H130" s="6">
        <f t="shared" ref="H130:H193" si="2">(F130)*(G130)</f>
        <v>1000</v>
      </c>
    </row>
    <row r="131" spans="1:8" x14ac:dyDescent="0.25">
      <c r="A131" t="s">
        <v>281</v>
      </c>
      <c r="B131" t="s">
        <v>282</v>
      </c>
      <c r="C131" t="s">
        <v>14</v>
      </c>
      <c r="D131" t="s">
        <v>15</v>
      </c>
      <c r="E131" t="s">
        <v>16</v>
      </c>
      <c r="F131">
        <v>2</v>
      </c>
      <c r="G131" s="5">
        <v>750</v>
      </c>
      <c r="H131" s="6">
        <f t="shared" si="2"/>
        <v>1500</v>
      </c>
    </row>
    <row r="132" spans="1:8" x14ac:dyDescent="0.25">
      <c r="A132" t="s">
        <v>283</v>
      </c>
      <c r="B132" t="s">
        <v>284</v>
      </c>
      <c r="C132" t="s">
        <v>20</v>
      </c>
      <c r="D132" t="s">
        <v>21</v>
      </c>
      <c r="E132" t="s">
        <v>22</v>
      </c>
      <c r="F132">
        <v>2</v>
      </c>
      <c r="G132" s="5">
        <v>500</v>
      </c>
      <c r="H132" s="6">
        <f t="shared" si="2"/>
        <v>1000</v>
      </c>
    </row>
    <row r="133" spans="1:8" x14ac:dyDescent="0.25">
      <c r="A133" t="s">
        <v>285</v>
      </c>
      <c r="B133" t="s">
        <v>286</v>
      </c>
      <c r="C133" t="s">
        <v>25</v>
      </c>
      <c r="D133" t="s">
        <v>26</v>
      </c>
      <c r="E133" t="s">
        <v>17</v>
      </c>
      <c r="F133">
        <v>1</v>
      </c>
      <c r="G133" s="5">
        <v>800</v>
      </c>
      <c r="H133" s="6">
        <f t="shared" si="2"/>
        <v>800</v>
      </c>
    </row>
    <row r="134" spans="1:8" x14ac:dyDescent="0.25">
      <c r="A134" t="s">
        <v>287</v>
      </c>
      <c r="B134" t="s">
        <v>288</v>
      </c>
      <c r="C134" t="s">
        <v>29</v>
      </c>
      <c r="D134" t="s">
        <v>10</v>
      </c>
      <c r="E134" t="s">
        <v>11</v>
      </c>
      <c r="F134">
        <v>5</v>
      </c>
      <c r="G134" s="5">
        <v>50</v>
      </c>
      <c r="H134" s="6">
        <f t="shared" si="2"/>
        <v>250</v>
      </c>
    </row>
    <row r="135" spans="1:8" x14ac:dyDescent="0.25">
      <c r="A135" t="s">
        <v>289</v>
      </c>
      <c r="B135" t="s">
        <v>290</v>
      </c>
      <c r="C135" t="s">
        <v>32</v>
      </c>
      <c r="D135" t="s">
        <v>15</v>
      </c>
      <c r="E135" t="s">
        <v>16</v>
      </c>
      <c r="F135">
        <v>10</v>
      </c>
      <c r="G135" s="5">
        <v>20</v>
      </c>
      <c r="H135" s="6">
        <f t="shared" si="2"/>
        <v>200</v>
      </c>
    </row>
    <row r="136" spans="1:8" x14ac:dyDescent="0.25">
      <c r="A136" t="s">
        <v>291</v>
      </c>
      <c r="B136" t="s">
        <v>292</v>
      </c>
      <c r="C136" t="s">
        <v>35</v>
      </c>
      <c r="D136" t="s">
        <v>21</v>
      </c>
      <c r="E136" t="s">
        <v>22</v>
      </c>
      <c r="F136">
        <v>3</v>
      </c>
      <c r="G136" s="5">
        <v>600</v>
      </c>
      <c r="H136" s="6">
        <f t="shared" si="2"/>
        <v>1800</v>
      </c>
    </row>
    <row r="137" spans="1:8" x14ac:dyDescent="0.25">
      <c r="A137" t="s">
        <v>293</v>
      </c>
      <c r="B137" t="s">
        <v>294</v>
      </c>
      <c r="C137" t="s">
        <v>38</v>
      </c>
      <c r="D137" t="s">
        <v>26</v>
      </c>
      <c r="E137" t="s">
        <v>17</v>
      </c>
      <c r="F137">
        <v>2</v>
      </c>
      <c r="G137" s="5">
        <v>700</v>
      </c>
      <c r="H137" s="6">
        <f t="shared" si="2"/>
        <v>1400</v>
      </c>
    </row>
    <row r="138" spans="1:8" x14ac:dyDescent="0.25">
      <c r="A138" t="s">
        <v>295</v>
      </c>
      <c r="B138" t="s">
        <v>296</v>
      </c>
      <c r="C138" t="s">
        <v>9</v>
      </c>
      <c r="D138" t="s">
        <v>10</v>
      </c>
      <c r="E138" t="s">
        <v>11</v>
      </c>
      <c r="F138">
        <v>4</v>
      </c>
      <c r="G138" s="5">
        <v>45</v>
      </c>
      <c r="H138" s="6">
        <f t="shared" si="2"/>
        <v>180</v>
      </c>
    </row>
    <row r="139" spans="1:8" x14ac:dyDescent="0.25">
      <c r="A139" t="s">
        <v>297</v>
      </c>
      <c r="B139" t="s">
        <v>298</v>
      </c>
      <c r="C139" t="s">
        <v>14</v>
      </c>
      <c r="D139" t="s">
        <v>15</v>
      </c>
      <c r="E139" t="s">
        <v>16</v>
      </c>
      <c r="F139">
        <v>8</v>
      </c>
      <c r="G139" s="5">
        <v>25</v>
      </c>
      <c r="H139" s="6">
        <f t="shared" si="2"/>
        <v>200</v>
      </c>
    </row>
    <row r="140" spans="1:8" x14ac:dyDescent="0.25">
      <c r="A140" t="s">
        <v>299</v>
      </c>
      <c r="B140" t="s">
        <v>300</v>
      </c>
      <c r="C140" t="s">
        <v>20</v>
      </c>
      <c r="D140" t="s">
        <v>21</v>
      </c>
      <c r="E140" t="s">
        <v>22</v>
      </c>
      <c r="F140">
        <v>1</v>
      </c>
      <c r="G140" s="5">
        <v>1000</v>
      </c>
      <c r="H140" s="6">
        <f t="shared" si="2"/>
        <v>1000</v>
      </c>
    </row>
    <row r="141" spans="1:8" x14ac:dyDescent="0.25">
      <c r="A141" t="s">
        <v>301</v>
      </c>
      <c r="B141" t="s">
        <v>302</v>
      </c>
      <c r="C141" t="s">
        <v>25</v>
      </c>
      <c r="D141" t="s">
        <v>26</v>
      </c>
      <c r="E141" t="s">
        <v>17</v>
      </c>
      <c r="F141">
        <v>2</v>
      </c>
      <c r="G141" s="5">
        <v>750</v>
      </c>
      <c r="H141" s="6">
        <f t="shared" si="2"/>
        <v>1500</v>
      </c>
    </row>
    <row r="142" spans="1:8" x14ac:dyDescent="0.25">
      <c r="A142" t="s">
        <v>303</v>
      </c>
      <c r="B142" t="s">
        <v>304</v>
      </c>
      <c r="C142" t="s">
        <v>29</v>
      </c>
      <c r="D142" t="s">
        <v>10</v>
      </c>
      <c r="E142" t="s">
        <v>11</v>
      </c>
      <c r="F142">
        <v>2</v>
      </c>
      <c r="G142" s="5">
        <v>500</v>
      </c>
      <c r="H142" s="6">
        <f t="shared" si="2"/>
        <v>1000</v>
      </c>
    </row>
    <row r="143" spans="1:8" x14ac:dyDescent="0.25">
      <c r="A143" t="s">
        <v>305</v>
      </c>
      <c r="B143" t="s">
        <v>306</v>
      </c>
      <c r="C143" t="s">
        <v>32</v>
      </c>
      <c r="D143" t="s">
        <v>15</v>
      </c>
      <c r="E143" t="s">
        <v>16</v>
      </c>
      <c r="F143">
        <v>1</v>
      </c>
      <c r="G143" s="5">
        <v>800</v>
      </c>
      <c r="H143" s="6">
        <f t="shared" si="2"/>
        <v>800</v>
      </c>
    </row>
    <row r="144" spans="1:8" x14ac:dyDescent="0.25">
      <c r="A144" t="s">
        <v>307</v>
      </c>
      <c r="B144" t="s">
        <v>308</v>
      </c>
      <c r="C144" t="s">
        <v>35</v>
      </c>
      <c r="D144" t="s">
        <v>21</v>
      </c>
      <c r="E144" t="s">
        <v>22</v>
      </c>
      <c r="F144">
        <v>5</v>
      </c>
      <c r="G144" s="5">
        <v>50</v>
      </c>
      <c r="H144" s="6">
        <f t="shared" si="2"/>
        <v>250</v>
      </c>
    </row>
    <row r="145" spans="1:8" x14ac:dyDescent="0.25">
      <c r="A145" t="s">
        <v>309</v>
      </c>
      <c r="B145" t="s">
        <v>310</v>
      </c>
      <c r="C145" t="s">
        <v>38</v>
      </c>
      <c r="D145" t="s">
        <v>26</v>
      </c>
      <c r="E145" t="s">
        <v>17</v>
      </c>
      <c r="F145">
        <v>10</v>
      </c>
      <c r="G145" s="5">
        <v>20</v>
      </c>
      <c r="H145" s="6">
        <f t="shared" si="2"/>
        <v>200</v>
      </c>
    </row>
    <row r="146" spans="1:8" x14ac:dyDescent="0.25">
      <c r="A146" t="s">
        <v>311</v>
      </c>
      <c r="B146" t="s">
        <v>312</v>
      </c>
      <c r="C146" t="s">
        <v>9</v>
      </c>
      <c r="D146" t="s">
        <v>10</v>
      </c>
      <c r="E146" t="s">
        <v>11</v>
      </c>
      <c r="F146">
        <v>3</v>
      </c>
      <c r="G146" s="5">
        <v>600</v>
      </c>
      <c r="H146" s="6">
        <f t="shared" si="2"/>
        <v>1800</v>
      </c>
    </row>
    <row r="147" spans="1:8" x14ac:dyDescent="0.25">
      <c r="A147" t="s">
        <v>313</v>
      </c>
      <c r="B147" t="s">
        <v>314</v>
      </c>
      <c r="C147" t="s">
        <v>14</v>
      </c>
      <c r="D147" t="s">
        <v>15</v>
      </c>
      <c r="E147" t="s">
        <v>16</v>
      </c>
      <c r="F147">
        <v>2</v>
      </c>
      <c r="G147" s="5">
        <v>700</v>
      </c>
      <c r="H147" s="6">
        <f t="shared" si="2"/>
        <v>1400</v>
      </c>
    </row>
    <row r="148" spans="1:8" x14ac:dyDescent="0.25">
      <c r="A148" t="s">
        <v>315</v>
      </c>
      <c r="B148" t="s">
        <v>316</v>
      </c>
      <c r="C148" t="s">
        <v>20</v>
      </c>
      <c r="D148" t="s">
        <v>21</v>
      </c>
      <c r="E148" t="s">
        <v>22</v>
      </c>
      <c r="F148">
        <v>4</v>
      </c>
      <c r="G148" s="5">
        <v>45</v>
      </c>
      <c r="H148" s="6">
        <f t="shared" si="2"/>
        <v>180</v>
      </c>
    </row>
    <row r="149" spans="1:8" x14ac:dyDescent="0.25">
      <c r="A149" t="s">
        <v>317</v>
      </c>
      <c r="B149" t="s">
        <v>318</v>
      </c>
      <c r="C149" t="s">
        <v>25</v>
      </c>
      <c r="D149" t="s">
        <v>26</v>
      </c>
      <c r="E149" t="s">
        <v>17</v>
      </c>
      <c r="F149">
        <v>8</v>
      </c>
      <c r="G149" s="5">
        <v>25</v>
      </c>
      <c r="H149" s="6">
        <f t="shared" si="2"/>
        <v>200</v>
      </c>
    </row>
    <row r="150" spans="1:8" x14ac:dyDescent="0.25">
      <c r="A150" t="s">
        <v>319</v>
      </c>
      <c r="B150" t="s">
        <v>320</v>
      </c>
      <c r="C150" t="s">
        <v>29</v>
      </c>
      <c r="D150" t="s">
        <v>10</v>
      </c>
      <c r="E150" t="s">
        <v>11</v>
      </c>
      <c r="F150">
        <v>1</v>
      </c>
      <c r="G150" s="5">
        <v>1000</v>
      </c>
      <c r="H150" s="6">
        <f t="shared" si="2"/>
        <v>1000</v>
      </c>
    </row>
    <row r="151" spans="1:8" x14ac:dyDescent="0.25">
      <c r="A151" t="s">
        <v>321</v>
      </c>
      <c r="B151" t="s">
        <v>322</v>
      </c>
      <c r="C151" t="s">
        <v>32</v>
      </c>
      <c r="D151" t="s">
        <v>15</v>
      </c>
      <c r="E151" t="s">
        <v>16</v>
      </c>
      <c r="F151">
        <v>2</v>
      </c>
      <c r="G151" s="5">
        <v>750</v>
      </c>
      <c r="H151" s="6">
        <f t="shared" si="2"/>
        <v>1500</v>
      </c>
    </row>
    <row r="152" spans="1:8" x14ac:dyDescent="0.25">
      <c r="A152" t="s">
        <v>323</v>
      </c>
      <c r="B152" t="s">
        <v>324</v>
      </c>
      <c r="C152" t="s">
        <v>35</v>
      </c>
      <c r="D152" t="s">
        <v>21</v>
      </c>
      <c r="E152" t="s">
        <v>22</v>
      </c>
      <c r="F152">
        <v>2</v>
      </c>
      <c r="G152" s="5">
        <v>500</v>
      </c>
      <c r="H152" s="6">
        <f t="shared" si="2"/>
        <v>1000</v>
      </c>
    </row>
    <row r="153" spans="1:8" x14ac:dyDescent="0.25">
      <c r="A153" t="s">
        <v>325</v>
      </c>
      <c r="B153" t="s">
        <v>326</v>
      </c>
      <c r="C153" t="s">
        <v>38</v>
      </c>
      <c r="D153" t="s">
        <v>26</v>
      </c>
      <c r="E153" t="s">
        <v>17</v>
      </c>
      <c r="F153">
        <v>1</v>
      </c>
      <c r="G153" s="5">
        <v>800</v>
      </c>
      <c r="H153" s="6">
        <f t="shared" si="2"/>
        <v>800</v>
      </c>
    </row>
    <row r="154" spans="1:8" x14ac:dyDescent="0.25">
      <c r="A154" t="s">
        <v>327</v>
      </c>
      <c r="B154" t="s">
        <v>328</v>
      </c>
      <c r="C154" t="s">
        <v>9</v>
      </c>
      <c r="D154" t="s">
        <v>10</v>
      </c>
      <c r="E154" t="s">
        <v>11</v>
      </c>
      <c r="F154">
        <v>5</v>
      </c>
      <c r="G154" s="5">
        <v>50</v>
      </c>
      <c r="H154" s="6">
        <f t="shared" si="2"/>
        <v>250</v>
      </c>
    </row>
    <row r="155" spans="1:8" x14ac:dyDescent="0.25">
      <c r="A155" t="s">
        <v>329</v>
      </c>
      <c r="B155" t="s">
        <v>330</v>
      </c>
      <c r="C155" t="s">
        <v>14</v>
      </c>
      <c r="D155" t="s">
        <v>15</v>
      </c>
      <c r="E155" t="s">
        <v>16</v>
      </c>
      <c r="F155">
        <v>10</v>
      </c>
      <c r="G155" s="5">
        <v>20</v>
      </c>
      <c r="H155" s="6">
        <f t="shared" si="2"/>
        <v>200</v>
      </c>
    </row>
    <row r="156" spans="1:8" x14ac:dyDescent="0.25">
      <c r="A156" t="s">
        <v>331</v>
      </c>
      <c r="B156" t="s">
        <v>332</v>
      </c>
      <c r="C156" t="s">
        <v>20</v>
      </c>
      <c r="D156" t="s">
        <v>21</v>
      </c>
      <c r="E156" t="s">
        <v>22</v>
      </c>
      <c r="F156">
        <v>3</v>
      </c>
      <c r="G156" s="5">
        <v>600</v>
      </c>
      <c r="H156" s="6">
        <f t="shared" si="2"/>
        <v>1800</v>
      </c>
    </row>
    <row r="157" spans="1:8" x14ac:dyDescent="0.25">
      <c r="A157" t="s">
        <v>333</v>
      </c>
      <c r="B157" t="s">
        <v>334</v>
      </c>
      <c r="C157" t="s">
        <v>25</v>
      </c>
      <c r="D157" t="s">
        <v>26</v>
      </c>
      <c r="E157" t="s">
        <v>17</v>
      </c>
      <c r="F157">
        <v>2</v>
      </c>
      <c r="G157" s="5">
        <v>700</v>
      </c>
      <c r="H157" s="6">
        <f t="shared" si="2"/>
        <v>1400</v>
      </c>
    </row>
    <row r="158" spans="1:8" x14ac:dyDescent="0.25">
      <c r="A158" t="s">
        <v>335</v>
      </c>
      <c r="B158" t="s">
        <v>336</v>
      </c>
      <c r="C158" t="s">
        <v>29</v>
      </c>
      <c r="D158" t="s">
        <v>10</v>
      </c>
      <c r="E158" t="s">
        <v>11</v>
      </c>
      <c r="F158">
        <v>4</v>
      </c>
      <c r="G158" s="5">
        <v>45</v>
      </c>
      <c r="H158" s="6">
        <f t="shared" si="2"/>
        <v>180</v>
      </c>
    </row>
    <row r="159" spans="1:8" x14ac:dyDescent="0.25">
      <c r="A159" t="s">
        <v>337</v>
      </c>
      <c r="B159" t="s">
        <v>338</v>
      </c>
      <c r="C159" t="s">
        <v>32</v>
      </c>
      <c r="D159" t="s">
        <v>15</v>
      </c>
      <c r="E159" t="s">
        <v>16</v>
      </c>
      <c r="F159">
        <v>8</v>
      </c>
      <c r="G159" s="5">
        <v>25</v>
      </c>
      <c r="H159" s="6">
        <f t="shared" si="2"/>
        <v>200</v>
      </c>
    </row>
    <row r="160" spans="1:8" x14ac:dyDescent="0.25">
      <c r="A160" t="s">
        <v>339</v>
      </c>
      <c r="B160" t="s">
        <v>340</v>
      </c>
      <c r="C160" t="s">
        <v>35</v>
      </c>
      <c r="D160" t="s">
        <v>21</v>
      </c>
      <c r="E160" t="s">
        <v>22</v>
      </c>
      <c r="F160">
        <v>1</v>
      </c>
      <c r="G160" s="5">
        <v>1000</v>
      </c>
      <c r="H160" s="6">
        <f t="shared" si="2"/>
        <v>1000</v>
      </c>
    </row>
    <row r="161" spans="1:8" x14ac:dyDescent="0.25">
      <c r="A161" t="s">
        <v>341</v>
      </c>
      <c r="B161" t="s">
        <v>342</v>
      </c>
      <c r="C161" t="s">
        <v>38</v>
      </c>
      <c r="D161" t="s">
        <v>26</v>
      </c>
      <c r="E161" t="s">
        <v>17</v>
      </c>
      <c r="F161">
        <v>2</v>
      </c>
      <c r="G161" s="5">
        <v>750</v>
      </c>
      <c r="H161" s="6">
        <f t="shared" si="2"/>
        <v>1500</v>
      </c>
    </row>
    <row r="162" spans="1:8" x14ac:dyDescent="0.25">
      <c r="A162" t="s">
        <v>343</v>
      </c>
      <c r="B162" t="s">
        <v>344</v>
      </c>
      <c r="C162" t="s">
        <v>9</v>
      </c>
      <c r="D162" t="s">
        <v>10</v>
      </c>
      <c r="E162" t="s">
        <v>11</v>
      </c>
      <c r="F162">
        <v>2</v>
      </c>
      <c r="G162" s="5">
        <v>500</v>
      </c>
      <c r="H162" s="6">
        <f t="shared" si="2"/>
        <v>1000</v>
      </c>
    </row>
    <row r="163" spans="1:8" x14ac:dyDescent="0.25">
      <c r="A163" t="s">
        <v>345</v>
      </c>
      <c r="B163" t="s">
        <v>346</v>
      </c>
      <c r="C163" t="s">
        <v>14</v>
      </c>
      <c r="D163" t="s">
        <v>15</v>
      </c>
      <c r="E163" t="s">
        <v>16</v>
      </c>
      <c r="F163">
        <v>1</v>
      </c>
      <c r="G163" s="5">
        <v>800</v>
      </c>
      <c r="H163" s="6">
        <f t="shared" si="2"/>
        <v>800</v>
      </c>
    </row>
    <row r="164" spans="1:8" x14ac:dyDescent="0.25">
      <c r="A164" t="s">
        <v>347</v>
      </c>
      <c r="B164" t="s">
        <v>348</v>
      </c>
      <c r="C164" t="s">
        <v>20</v>
      </c>
      <c r="D164" t="s">
        <v>21</v>
      </c>
      <c r="E164" t="s">
        <v>22</v>
      </c>
      <c r="F164">
        <v>5</v>
      </c>
      <c r="G164" s="5">
        <v>50</v>
      </c>
      <c r="H164" s="6">
        <f t="shared" si="2"/>
        <v>250</v>
      </c>
    </row>
    <row r="165" spans="1:8" x14ac:dyDescent="0.25">
      <c r="A165" t="s">
        <v>349</v>
      </c>
      <c r="B165" t="s">
        <v>350</v>
      </c>
      <c r="C165" t="s">
        <v>25</v>
      </c>
      <c r="D165" t="s">
        <v>26</v>
      </c>
      <c r="E165" t="s">
        <v>17</v>
      </c>
      <c r="F165">
        <v>10</v>
      </c>
      <c r="G165" s="5">
        <v>20</v>
      </c>
      <c r="H165" s="6">
        <f t="shared" si="2"/>
        <v>200</v>
      </c>
    </row>
    <row r="166" spans="1:8" x14ac:dyDescent="0.25">
      <c r="A166" t="s">
        <v>351</v>
      </c>
      <c r="B166" t="s">
        <v>352</v>
      </c>
      <c r="C166" t="s">
        <v>29</v>
      </c>
      <c r="D166" t="s">
        <v>10</v>
      </c>
      <c r="E166" t="s">
        <v>11</v>
      </c>
      <c r="F166">
        <v>3</v>
      </c>
      <c r="G166" s="5">
        <v>600</v>
      </c>
      <c r="H166" s="6">
        <f t="shared" si="2"/>
        <v>1800</v>
      </c>
    </row>
    <row r="167" spans="1:8" x14ac:dyDescent="0.25">
      <c r="A167" t="s">
        <v>353</v>
      </c>
      <c r="B167" t="s">
        <v>354</v>
      </c>
      <c r="C167" t="s">
        <v>32</v>
      </c>
      <c r="D167" t="s">
        <v>15</v>
      </c>
      <c r="E167" t="s">
        <v>16</v>
      </c>
      <c r="F167">
        <v>2</v>
      </c>
      <c r="G167" s="5">
        <v>700</v>
      </c>
      <c r="H167" s="6">
        <f t="shared" si="2"/>
        <v>1400</v>
      </c>
    </row>
    <row r="168" spans="1:8" x14ac:dyDescent="0.25">
      <c r="A168" t="s">
        <v>355</v>
      </c>
      <c r="B168" t="s">
        <v>356</v>
      </c>
      <c r="C168" t="s">
        <v>35</v>
      </c>
      <c r="D168" t="s">
        <v>21</v>
      </c>
      <c r="E168" t="s">
        <v>22</v>
      </c>
      <c r="F168">
        <v>4</v>
      </c>
      <c r="G168" s="5">
        <v>45</v>
      </c>
      <c r="H168" s="6">
        <f t="shared" si="2"/>
        <v>180</v>
      </c>
    </row>
    <row r="169" spans="1:8" x14ac:dyDescent="0.25">
      <c r="A169" t="s">
        <v>357</v>
      </c>
      <c r="B169" t="s">
        <v>358</v>
      </c>
      <c r="C169" t="s">
        <v>38</v>
      </c>
      <c r="D169" t="s">
        <v>26</v>
      </c>
      <c r="E169" t="s">
        <v>17</v>
      </c>
      <c r="F169">
        <v>8</v>
      </c>
      <c r="G169" s="5">
        <v>25</v>
      </c>
      <c r="H169" s="6">
        <f t="shared" si="2"/>
        <v>200</v>
      </c>
    </row>
    <row r="170" spans="1:8" x14ac:dyDescent="0.25">
      <c r="A170" t="s">
        <v>359</v>
      </c>
      <c r="B170" t="s">
        <v>360</v>
      </c>
      <c r="C170" t="s">
        <v>9</v>
      </c>
      <c r="D170" t="s">
        <v>10</v>
      </c>
      <c r="E170" t="s">
        <v>11</v>
      </c>
      <c r="F170">
        <v>1</v>
      </c>
      <c r="G170" s="5">
        <v>1000</v>
      </c>
      <c r="H170" s="6">
        <f t="shared" si="2"/>
        <v>1000</v>
      </c>
    </row>
    <row r="171" spans="1:8" x14ac:dyDescent="0.25">
      <c r="A171" t="s">
        <v>361</v>
      </c>
      <c r="B171" t="s">
        <v>362</v>
      </c>
      <c r="C171" t="s">
        <v>14</v>
      </c>
      <c r="D171" t="s">
        <v>15</v>
      </c>
      <c r="E171" t="s">
        <v>16</v>
      </c>
      <c r="F171">
        <v>2</v>
      </c>
      <c r="G171" s="5">
        <v>750</v>
      </c>
      <c r="H171" s="6">
        <f t="shared" si="2"/>
        <v>1500</v>
      </c>
    </row>
    <row r="172" spans="1:8" x14ac:dyDescent="0.25">
      <c r="A172" t="s">
        <v>363</v>
      </c>
      <c r="B172" t="s">
        <v>364</v>
      </c>
      <c r="C172" t="s">
        <v>20</v>
      </c>
      <c r="D172" t="s">
        <v>21</v>
      </c>
      <c r="E172" t="s">
        <v>22</v>
      </c>
      <c r="F172">
        <v>2</v>
      </c>
      <c r="G172" s="5">
        <v>500</v>
      </c>
      <c r="H172" s="6">
        <f t="shared" si="2"/>
        <v>1000</v>
      </c>
    </row>
    <row r="173" spans="1:8" x14ac:dyDescent="0.25">
      <c r="A173" t="s">
        <v>365</v>
      </c>
      <c r="B173" t="s">
        <v>366</v>
      </c>
      <c r="C173" t="s">
        <v>25</v>
      </c>
      <c r="D173" t="s">
        <v>26</v>
      </c>
      <c r="E173" t="s">
        <v>17</v>
      </c>
      <c r="F173">
        <v>1</v>
      </c>
      <c r="G173" s="5">
        <v>800</v>
      </c>
      <c r="H173" s="6">
        <f t="shared" si="2"/>
        <v>800</v>
      </c>
    </row>
    <row r="174" spans="1:8" x14ac:dyDescent="0.25">
      <c r="A174" t="s">
        <v>367</v>
      </c>
      <c r="B174" t="s">
        <v>368</v>
      </c>
      <c r="C174" t="s">
        <v>29</v>
      </c>
      <c r="D174" t="s">
        <v>10</v>
      </c>
      <c r="E174" t="s">
        <v>11</v>
      </c>
      <c r="F174">
        <v>5</v>
      </c>
      <c r="G174" s="5">
        <v>50</v>
      </c>
      <c r="H174" s="6">
        <f t="shared" si="2"/>
        <v>250</v>
      </c>
    </row>
    <row r="175" spans="1:8" x14ac:dyDescent="0.25">
      <c r="A175" t="s">
        <v>369</v>
      </c>
      <c r="B175" t="s">
        <v>370</v>
      </c>
      <c r="C175" t="s">
        <v>32</v>
      </c>
      <c r="D175" t="s">
        <v>15</v>
      </c>
      <c r="E175" t="s">
        <v>16</v>
      </c>
      <c r="F175">
        <v>10</v>
      </c>
      <c r="G175" s="5">
        <v>20</v>
      </c>
      <c r="H175" s="6">
        <f t="shared" si="2"/>
        <v>200</v>
      </c>
    </row>
    <row r="176" spans="1:8" x14ac:dyDescent="0.25">
      <c r="A176" t="s">
        <v>371</v>
      </c>
      <c r="B176" t="s">
        <v>372</v>
      </c>
      <c r="C176" t="s">
        <v>35</v>
      </c>
      <c r="D176" t="s">
        <v>21</v>
      </c>
      <c r="E176" t="s">
        <v>22</v>
      </c>
      <c r="F176">
        <v>3</v>
      </c>
      <c r="G176" s="5">
        <v>600</v>
      </c>
      <c r="H176" s="6">
        <f t="shared" si="2"/>
        <v>1800</v>
      </c>
    </row>
    <row r="177" spans="1:8" x14ac:dyDescent="0.25">
      <c r="A177" t="s">
        <v>373</v>
      </c>
      <c r="B177" t="s">
        <v>374</v>
      </c>
      <c r="C177" t="s">
        <v>38</v>
      </c>
      <c r="D177" t="s">
        <v>26</v>
      </c>
      <c r="E177" t="s">
        <v>17</v>
      </c>
      <c r="F177">
        <v>2</v>
      </c>
      <c r="G177" s="5">
        <v>700</v>
      </c>
      <c r="H177" s="6">
        <f t="shared" si="2"/>
        <v>1400</v>
      </c>
    </row>
    <row r="178" spans="1:8" x14ac:dyDescent="0.25">
      <c r="A178" t="s">
        <v>375</v>
      </c>
      <c r="B178" t="s">
        <v>376</v>
      </c>
      <c r="C178" t="s">
        <v>9</v>
      </c>
      <c r="D178" t="s">
        <v>10</v>
      </c>
      <c r="E178" t="s">
        <v>11</v>
      </c>
      <c r="F178">
        <v>4</v>
      </c>
      <c r="G178" s="5">
        <v>45</v>
      </c>
      <c r="H178" s="6">
        <f t="shared" si="2"/>
        <v>180</v>
      </c>
    </row>
    <row r="179" spans="1:8" x14ac:dyDescent="0.25">
      <c r="A179" t="s">
        <v>377</v>
      </c>
      <c r="B179" t="s">
        <v>378</v>
      </c>
      <c r="C179" t="s">
        <v>14</v>
      </c>
      <c r="D179" t="s">
        <v>15</v>
      </c>
      <c r="E179" t="s">
        <v>16</v>
      </c>
      <c r="F179">
        <v>8</v>
      </c>
      <c r="G179" s="5">
        <v>25</v>
      </c>
      <c r="H179" s="6">
        <f t="shared" si="2"/>
        <v>200</v>
      </c>
    </row>
    <row r="180" spans="1:8" x14ac:dyDescent="0.25">
      <c r="A180" t="s">
        <v>379</v>
      </c>
      <c r="B180" t="s">
        <v>380</v>
      </c>
      <c r="C180" t="s">
        <v>20</v>
      </c>
      <c r="D180" t="s">
        <v>21</v>
      </c>
      <c r="E180" t="s">
        <v>22</v>
      </c>
      <c r="F180">
        <v>1</v>
      </c>
      <c r="G180" s="5">
        <v>1000</v>
      </c>
      <c r="H180" s="6">
        <f t="shared" si="2"/>
        <v>1000</v>
      </c>
    </row>
    <row r="181" spans="1:8" x14ac:dyDescent="0.25">
      <c r="A181" t="s">
        <v>381</v>
      </c>
      <c r="B181" t="s">
        <v>382</v>
      </c>
      <c r="C181" t="s">
        <v>25</v>
      </c>
      <c r="D181" t="s">
        <v>26</v>
      </c>
      <c r="E181" t="s">
        <v>17</v>
      </c>
      <c r="F181">
        <v>2</v>
      </c>
      <c r="G181" s="5">
        <v>750</v>
      </c>
      <c r="H181" s="6">
        <f t="shared" si="2"/>
        <v>1500</v>
      </c>
    </row>
    <row r="182" spans="1:8" x14ac:dyDescent="0.25">
      <c r="A182" t="s">
        <v>383</v>
      </c>
      <c r="B182" t="s">
        <v>384</v>
      </c>
      <c r="C182" t="s">
        <v>29</v>
      </c>
      <c r="D182" t="s">
        <v>10</v>
      </c>
      <c r="E182" t="s">
        <v>11</v>
      </c>
      <c r="F182">
        <v>2</v>
      </c>
      <c r="G182" s="5">
        <v>500</v>
      </c>
      <c r="H182" s="6">
        <f t="shared" si="2"/>
        <v>1000</v>
      </c>
    </row>
    <row r="183" spans="1:8" x14ac:dyDescent="0.25">
      <c r="A183" t="s">
        <v>385</v>
      </c>
      <c r="B183" t="s">
        <v>386</v>
      </c>
      <c r="C183" t="s">
        <v>32</v>
      </c>
      <c r="D183" t="s">
        <v>15</v>
      </c>
      <c r="E183" t="s">
        <v>16</v>
      </c>
      <c r="F183">
        <v>1</v>
      </c>
      <c r="G183" s="5">
        <v>800</v>
      </c>
      <c r="H183" s="6">
        <f t="shared" si="2"/>
        <v>800</v>
      </c>
    </row>
    <row r="184" spans="1:8" x14ac:dyDescent="0.25">
      <c r="A184" t="s">
        <v>387</v>
      </c>
      <c r="B184" t="s">
        <v>388</v>
      </c>
      <c r="C184" t="s">
        <v>35</v>
      </c>
      <c r="D184" t="s">
        <v>21</v>
      </c>
      <c r="E184" t="s">
        <v>22</v>
      </c>
      <c r="F184">
        <v>5</v>
      </c>
      <c r="G184" s="5">
        <v>50</v>
      </c>
      <c r="H184" s="6">
        <f t="shared" si="2"/>
        <v>250</v>
      </c>
    </row>
    <row r="185" spans="1:8" x14ac:dyDescent="0.25">
      <c r="A185" t="s">
        <v>389</v>
      </c>
      <c r="B185" t="s">
        <v>390</v>
      </c>
      <c r="C185" t="s">
        <v>38</v>
      </c>
      <c r="D185" t="s">
        <v>26</v>
      </c>
      <c r="E185" t="s">
        <v>17</v>
      </c>
      <c r="F185">
        <v>10</v>
      </c>
      <c r="G185" s="5">
        <v>20</v>
      </c>
      <c r="H185" s="6">
        <f t="shared" si="2"/>
        <v>200</v>
      </c>
    </row>
    <row r="186" spans="1:8" x14ac:dyDescent="0.25">
      <c r="A186" t="s">
        <v>391</v>
      </c>
      <c r="B186" t="s">
        <v>392</v>
      </c>
      <c r="C186" t="s">
        <v>9</v>
      </c>
      <c r="D186" t="s">
        <v>10</v>
      </c>
      <c r="E186" t="s">
        <v>11</v>
      </c>
      <c r="F186">
        <v>3</v>
      </c>
      <c r="G186" s="5">
        <v>600</v>
      </c>
      <c r="H186" s="6">
        <f t="shared" si="2"/>
        <v>1800</v>
      </c>
    </row>
    <row r="187" spans="1:8" x14ac:dyDescent="0.25">
      <c r="A187" t="s">
        <v>393</v>
      </c>
      <c r="B187" t="s">
        <v>394</v>
      </c>
      <c r="C187" t="s">
        <v>14</v>
      </c>
      <c r="D187" t="s">
        <v>15</v>
      </c>
      <c r="E187" t="s">
        <v>16</v>
      </c>
      <c r="F187">
        <v>2</v>
      </c>
      <c r="G187" s="5">
        <v>700</v>
      </c>
      <c r="H187" s="6">
        <f t="shared" si="2"/>
        <v>1400</v>
      </c>
    </row>
    <row r="188" spans="1:8" x14ac:dyDescent="0.25">
      <c r="A188" t="s">
        <v>395</v>
      </c>
      <c r="B188" t="s">
        <v>396</v>
      </c>
      <c r="C188" t="s">
        <v>20</v>
      </c>
      <c r="D188" t="s">
        <v>21</v>
      </c>
      <c r="E188" t="s">
        <v>22</v>
      </c>
      <c r="F188">
        <v>4</v>
      </c>
      <c r="G188" s="5">
        <v>45</v>
      </c>
      <c r="H188" s="6">
        <f t="shared" si="2"/>
        <v>180</v>
      </c>
    </row>
    <row r="189" spans="1:8" x14ac:dyDescent="0.25">
      <c r="A189" t="s">
        <v>397</v>
      </c>
      <c r="B189" t="s">
        <v>398</v>
      </c>
      <c r="C189" t="s">
        <v>25</v>
      </c>
      <c r="D189" t="s">
        <v>26</v>
      </c>
      <c r="E189" t="s">
        <v>17</v>
      </c>
      <c r="F189">
        <v>8</v>
      </c>
      <c r="G189" s="5">
        <v>25</v>
      </c>
      <c r="H189" s="6">
        <f t="shared" si="2"/>
        <v>200</v>
      </c>
    </row>
    <row r="190" spans="1:8" x14ac:dyDescent="0.25">
      <c r="A190" t="s">
        <v>399</v>
      </c>
      <c r="B190" t="s">
        <v>400</v>
      </c>
      <c r="C190" t="s">
        <v>29</v>
      </c>
      <c r="D190" t="s">
        <v>10</v>
      </c>
      <c r="E190" t="s">
        <v>11</v>
      </c>
      <c r="F190">
        <v>1</v>
      </c>
      <c r="G190" s="5">
        <v>1000</v>
      </c>
      <c r="H190" s="6">
        <f t="shared" si="2"/>
        <v>1000</v>
      </c>
    </row>
    <row r="191" spans="1:8" x14ac:dyDescent="0.25">
      <c r="A191" t="s">
        <v>401</v>
      </c>
      <c r="B191" t="s">
        <v>402</v>
      </c>
      <c r="C191" t="s">
        <v>32</v>
      </c>
      <c r="D191" t="s">
        <v>15</v>
      </c>
      <c r="E191" t="s">
        <v>16</v>
      </c>
      <c r="F191">
        <v>2</v>
      </c>
      <c r="G191" s="5">
        <v>750</v>
      </c>
      <c r="H191" s="6">
        <f t="shared" si="2"/>
        <v>1500</v>
      </c>
    </row>
    <row r="192" spans="1:8" x14ac:dyDescent="0.25">
      <c r="A192" t="s">
        <v>403</v>
      </c>
      <c r="B192" t="s">
        <v>404</v>
      </c>
      <c r="C192" t="s">
        <v>35</v>
      </c>
      <c r="D192" t="s">
        <v>21</v>
      </c>
      <c r="E192" t="s">
        <v>22</v>
      </c>
      <c r="F192">
        <v>2</v>
      </c>
      <c r="G192" s="5">
        <v>500</v>
      </c>
      <c r="H192" s="6">
        <f t="shared" si="2"/>
        <v>1000</v>
      </c>
    </row>
    <row r="193" spans="1:8" x14ac:dyDescent="0.25">
      <c r="A193" t="s">
        <v>405</v>
      </c>
      <c r="B193" t="s">
        <v>406</v>
      </c>
      <c r="C193" t="s">
        <v>38</v>
      </c>
      <c r="D193" t="s">
        <v>26</v>
      </c>
      <c r="E193" t="s">
        <v>17</v>
      </c>
      <c r="F193">
        <v>1</v>
      </c>
      <c r="G193" s="5">
        <v>800</v>
      </c>
      <c r="H193" s="6">
        <f t="shared" si="2"/>
        <v>800</v>
      </c>
    </row>
    <row r="194" spans="1:8" x14ac:dyDescent="0.25">
      <c r="A194" t="s">
        <v>407</v>
      </c>
      <c r="B194" t="s">
        <v>408</v>
      </c>
      <c r="C194" t="s">
        <v>9</v>
      </c>
      <c r="D194" t="s">
        <v>10</v>
      </c>
      <c r="E194" t="s">
        <v>11</v>
      </c>
      <c r="F194">
        <v>5</v>
      </c>
      <c r="G194" s="5">
        <v>50</v>
      </c>
      <c r="H194" s="6">
        <f t="shared" ref="H194:H230" si="3">(F194)*(G194)</f>
        <v>250</v>
      </c>
    </row>
    <row r="195" spans="1:8" x14ac:dyDescent="0.25">
      <c r="A195" t="s">
        <v>409</v>
      </c>
      <c r="B195" t="s">
        <v>410</v>
      </c>
      <c r="C195" t="s">
        <v>14</v>
      </c>
      <c r="D195" t="s">
        <v>15</v>
      </c>
      <c r="E195" t="s">
        <v>16</v>
      </c>
      <c r="F195">
        <v>10</v>
      </c>
      <c r="G195" s="5">
        <v>20</v>
      </c>
      <c r="H195" s="6">
        <f t="shared" si="3"/>
        <v>200</v>
      </c>
    </row>
    <row r="196" spans="1:8" x14ac:dyDescent="0.25">
      <c r="A196" t="s">
        <v>411</v>
      </c>
      <c r="B196" t="s">
        <v>412</v>
      </c>
      <c r="C196" t="s">
        <v>20</v>
      </c>
      <c r="D196" t="s">
        <v>21</v>
      </c>
      <c r="E196" t="s">
        <v>22</v>
      </c>
      <c r="F196">
        <v>3</v>
      </c>
      <c r="G196" s="5">
        <v>600</v>
      </c>
      <c r="H196" s="6">
        <f t="shared" si="3"/>
        <v>1800</v>
      </c>
    </row>
    <row r="197" spans="1:8" x14ac:dyDescent="0.25">
      <c r="A197" t="s">
        <v>413</v>
      </c>
      <c r="B197" t="s">
        <v>414</v>
      </c>
      <c r="C197" t="s">
        <v>25</v>
      </c>
      <c r="D197" t="s">
        <v>26</v>
      </c>
      <c r="E197" t="s">
        <v>17</v>
      </c>
      <c r="F197">
        <v>2</v>
      </c>
      <c r="G197" s="5">
        <v>700</v>
      </c>
      <c r="H197" s="6">
        <f t="shared" si="3"/>
        <v>1400</v>
      </c>
    </row>
    <row r="198" spans="1:8" x14ac:dyDescent="0.25">
      <c r="A198" t="s">
        <v>415</v>
      </c>
      <c r="B198" t="s">
        <v>416</v>
      </c>
      <c r="C198" t="s">
        <v>29</v>
      </c>
      <c r="D198" t="s">
        <v>10</v>
      </c>
      <c r="E198" t="s">
        <v>11</v>
      </c>
      <c r="F198">
        <v>4</v>
      </c>
      <c r="G198" s="5">
        <v>45</v>
      </c>
      <c r="H198" s="6">
        <f t="shared" si="3"/>
        <v>180</v>
      </c>
    </row>
    <row r="199" spans="1:8" x14ac:dyDescent="0.25">
      <c r="A199" t="s">
        <v>417</v>
      </c>
      <c r="B199" t="s">
        <v>418</v>
      </c>
      <c r="C199" t="s">
        <v>32</v>
      </c>
      <c r="D199" t="s">
        <v>15</v>
      </c>
      <c r="E199" t="s">
        <v>16</v>
      </c>
      <c r="F199">
        <v>8</v>
      </c>
      <c r="G199" s="5">
        <v>25</v>
      </c>
      <c r="H199" s="6">
        <f t="shared" si="3"/>
        <v>200</v>
      </c>
    </row>
    <row r="200" spans="1:8" x14ac:dyDescent="0.25">
      <c r="A200" t="s">
        <v>419</v>
      </c>
      <c r="B200" t="s">
        <v>420</v>
      </c>
      <c r="C200" t="s">
        <v>35</v>
      </c>
      <c r="D200" t="s">
        <v>21</v>
      </c>
      <c r="E200" t="s">
        <v>22</v>
      </c>
      <c r="F200">
        <v>1</v>
      </c>
      <c r="G200" s="5">
        <v>1000</v>
      </c>
      <c r="H200" s="6">
        <f t="shared" si="3"/>
        <v>1000</v>
      </c>
    </row>
    <row r="201" spans="1:8" x14ac:dyDescent="0.25">
      <c r="A201" t="s">
        <v>421</v>
      </c>
      <c r="B201" t="s">
        <v>422</v>
      </c>
      <c r="C201" t="s">
        <v>38</v>
      </c>
      <c r="D201" t="s">
        <v>26</v>
      </c>
      <c r="E201" t="s">
        <v>17</v>
      </c>
      <c r="F201">
        <v>2</v>
      </c>
      <c r="G201" s="5">
        <v>750</v>
      </c>
      <c r="H201" s="6">
        <f t="shared" si="3"/>
        <v>1500</v>
      </c>
    </row>
    <row r="202" spans="1:8" x14ac:dyDescent="0.25">
      <c r="A202" t="s">
        <v>423</v>
      </c>
      <c r="B202" t="s">
        <v>424</v>
      </c>
      <c r="C202" t="s">
        <v>9</v>
      </c>
      <c r="D202" t="s">
        <v>10</v>
      </c>
      <c r="E202" t="s">
        <v>11</v>
      </c>
      <c r="F202">
        <v>2</v>
      </c>
      <c r="G202" s="5">
        <v>500</v>
      </c>
      <c r="H202" s="6">
        <f t="shared" si="3"/>
        <v>1000</v>
      </c>
    </row>
    <row r="203" spans="1:8" x14ac:dyDescent="0.25">
      <c r="A203" t="s">
        <v>425</v>
      </c>
      <c r="B203" t="s">
        <v>426</v>
      </c>
      <c r="C203" t="s">
        <v>14</v>
      </c>
      <c r="D203" t="s">
        <v>15</v>
      </c>
      <c r="E203" t="s">
        <v>16</v>
      </c>
      <c r="F203">
        <v>1</v>
      </c>
      <c r="G203" s="5">
        <v>800</v>
      </c>
      <c r="H203" s="6">
        <f t="shared" si="3"/>
        <v>800</v>
      </c>
    </row>
    <row r="204" spans="1:8" x14ac:dyDescent="0.25">
      <c r="A204" t="s">
        <v>427</v>
      </c>
      <c r="B204" t="s">
        <v>428</v>
      </c>
      <c r="C204" t="s">
        <v>20</v>
      </c>
      <c r="D204" t="s">
        <v>21</v>
      </c>
      <c r="E204" t="s">
        <v>22</v>
      </c>
      <c r="F204">
        <v>5</v>
      </c>
      <c r="G204" s="5">
        <v>50</v>
      </c>
      <c r="H204" s="6">
        <f t="shared" si="3"/>
        <v>250</v>
      </c>
    </row>
    <row r="205" spans="1:8" x14ac:dyDescent="0.25">
      <c r="A205" t="s">
        <v>429</v>
      </c>
      <c r="B205" t="s">
        <v>430</v>
      </c>
      <c r="C205" t="s">
        <v>25</v>
      </c>
      <c r="D205" t="s">
        <v>26</v>
      </c>
      <c r="E205" t="s">
        <v>17</v>
      </c>
      <c r="F205">
        <v>10</v>
      </c>
      <c r="G205" s="5">
        <v>20</v>
      </c>
      <c r="H205" s="6">
        <f t="shared" si="3"/>
        <v>200</v>
      </c>
    </row>
    <row r="206" spans="1:8" x14ac:dyDescent="0.25">
      <c r="A206" t="s">
        <v>431</v>
      </c>
      <c r="B206" t="s">
        <v>432</v>
      </c>
      <c r="C206" t="s">
        <v>29</v>
      </c>
      <c r="D206" t="s">
        <v>10</v>
      </c>
      <c r="E206" t="s">
        <v>11</v>
      </c>
      <c r="F206">
        <v>3</v>
      </c>
      <c r="G206" s="5">
        <v>600</v>
      </c>
      <c r="H206" s="6">
        <f t="shared" si="3"/>
        <v>1800</v>
      </c>
    </row>
    <row r="207" spans="1:8" x14ac:dyDescent="0.25">
      <c r="A207" t="s">
        <v>433</v>
      </c>
      <c r="B207" t="s">
        <v>434</v>
      </c>
      <c r="C207" t="s">
        <v>32</v>
      </c>
      <c r="D207" t="s">
        <v>15</v>
      </c>
      <c r="E207" t="s">
        <v>16</v>
      </c>
      <c r="F207">
        <v>2</v>
      </c>
      <c r="G207" s="5">
        <v>700</v>
      </c>
      <c r="H207" s="6">
        <f t="shared" si="3"/>
        <v>1400</v>
      </c>
    </row>
    <row r="208" spans="1:8" x14ac:dyDescent="0.25">
      <c r="A208" t="s">
        <v>435</v>
      </c>
      <c r="B208" t="s">
        <v>436</v>
      </c>
      <c r="C208" t="s">
        <v>35</v>
      </c>
      <c r="D208" t="s">
        <v>21</v>
      </c>
      <c r="E208" t="s">
        <v>22</v>
      </c>
      <c r="F208">
        <v>4</v>
      </c>
      <c r="G208" s="5">
        <v>45</v>
      </c>
      <c r="H208" s="6">
        <f t="shared" si="3"/>
        <v>180</v>
      </c>
    </row>
    <row r="209" spans="1:8" x14ac:dyDescent="0.25">
      <c r="A209" t="s">
        <v>437</v>
      </c>
      <c r="B209" t="s">
        <v>438</v>
      </c>
      <c r="C209" t="s">
        <v>38</v>
      </c>
      <c r="D209" t="s">
        <v>26</v>
      </c>
      <c r="E209" t="s">
        <v>17</v>
      </c>
      <c r="F209">
        <v>8</v>
      </c>
      <c r="G209" s="5">
        <v>25</v>
      </c>
      <c r="H209" s="6">
        <f t="shared" si="3"/>
        <v>200</v>
      </c>
    </row>
    <row r="210" spans="1:8" x14ac:dyDescent="0.25">
      <c r="A210" t="s">
        <v>439</v>
      </c>
      <c r="B210" t="s">
        <v>440</v>
      </c>
      <c r="C210" t="s">
        <v>9</v>
      </c>
      <c r="D210" t="s">
        <v>10</v>
      </c>
      <c r="E210" t="s">
        <v>11</v>
      </c>
      <c r="F210">
        <v>1</v>
      </c>
      <c r="G210" s="5">
        <v>1000</v>
      </c>
      <c r="H210" s="6">
        <f t="shared" si="3"/>
        <v>1000</v>
      </c>
    </row>
    <row r="211" spans="1:8" x14ac:dyDescent="0.25">
      <c r="A211" t="s">
        <v>441</v>
      </c>
      <c r="B211" t="s">
        <v>442</v>
      </c>
      <c r="C211" t="s">
        <v>14</v>
      </c>
      <c r="D211" t="s">
        <v>15</v>
      </c>
      <c r="E211" t="s">
        <v>16</v>
      </c>
      <c r="F211">
        <v>2</v>
      </c>
      <c r="G211" s="5">
        <v>750</v>
      </c>
      <c r="H211" s="6">
        <f t="shared" si="3"/>
        <v>1500</v>
      </c>
    </row>
    <row r="212" spans="1:8" x14ac:dyDescent="0.25">
      <c r="A212" t="s">
        <v>443</v>
      </c>
      <c r="B212" t="s">
        <v>444</v>
      </c>
      <c r="C212" t="s">
        <v>20</v>
      </c>
      <c r="D212" t="s">
        <v>21</v>
      </c>
      <c r="E212" t="s">
        <v>22</v>
      </c>
      <c r="F212">
        <v>2</v>
      </c>
      <c r="G212" s="5">
        <v>500</v>
      </c>
      <c r="H212" s="6">
        <f t="shared" si="3"/>
        <v>1000</v>
      </c>
    </row>
    <row r="213" spans="1:8" x14ac:dyDescent="0.25">
      <c r="A213" t="s">
        <v>445</v>
      </c>
      <c r="B213" t="s">
        <v>446</v>
      </c>
      <c r="C213" t="s">
        <v>25</v>
      </c>
      <c r="D213" t="s">
        <v>26</v>
      </c>
      <c r="E213" t="s">
        <v>17</v>
      </c>
      <c r="F213">
        <v>1</v>
      </c>
      <c r="G213" s="5">
        <v>800</v>
      </c>
      <c r="H213" s="6">
        <f t="shared" si="3"/>
        <v>800</v>
      </c>
    </row>
    <row r="214" spans="1:8" x14ac:dyDescent="0.25">
      <c r="A214" t="s">
        <v>447</v>
      </c>
      <c r="B214" t="s">
        <v>448</v>
      </c>
      <c r="C214" t="s">
        <v>29</v>
      </c>
      <c r="D214" t="s">
        <v>10</v>
      </c>
      <c r="E214" t="s">
        <v>11</v>
      </c>
      <c r="F214">
        <v>5</v>
      </c>
      <c r="G214" s="5">
        <v>50</v>
      </c>
      <c r="H214" s="6">
        <f t="shared" si="3"/>
        <v>250</v>
      </c>
    </row>
    <row r="215" spans="1:8" x14ac:dyDescent="0.25">
      <c r="A215" t="s">
        <v>449</v>
      </c>
      <c r="B215" t="s">
        <v>450</v>
      </c>
      <c r="C215" t="s">
        <v>32</v>
      </c>
      <c r="D215" t="s">
        <v>15</v>
      </c>
      <c r="E215" t="s">
        <v>16</v>
      </c>
      <c r="F215">
        <v>10</v>
      </c>
      <c r="G215" s="5">
        <v>20</v>
      </c>
      <c r="H215" s="6">
        <f t="shared" si="3"/>
        <v>200</v>
      </c>
    </row>
    <row r="216" spans="1:8" x14ac:dyDescent="0.25">
      <c r="A216" t="s">
        <v>451</v>
      </c>
      <c r="B216" t="s">
        <v>452</v>
      </c>
      <c r="C216" t="s">
        <v>35</v>
      </c>
      <c r="D216" t="s">
        <v>21</v>
      </c>
      <c r="E216" t="s">
        <v>22</v>
      </c>
      <c r="F216">
        <v>3</v>
      </c>
      <c r="G216" s="5">
        <v>600</v>
      </c>
      <c r="H216" s="6">
        <f t="shared" si="3"/>
        <v>1800</v>
      </c>
    </row>
    <row r="217" spans="1:8" x14ac:dyDescent="0.25">
      <c r="A217" t="s">
        <v>453</v>
      </c>
      <c r="B217" t="s">
        <v>454</v>
      </c>
      <c r="C217" t="s">
        <v>38</v>
      </c>
      <c r="D217" t="s">
        <v>26</v>
      </c>
      <c r="E217" t="s">
        <v>17</v>
      </c>
      <c r="F217">
        <v>2</v>
      </c>
      <c r="G217" s="5">
        <v>700</v>
      </c>
      <c r="H217" s="6">
        <f t="shared" si="3"/>
        <v>1400</v>
      </c>
    </row>
    <row r="218" spans="1:8" x14ac:dyDescent="0.25">
      <c r="A218" t="s">
        <v>455</v>
      </c>
      <c r="B218" t="s">
        <v>456</v>
      </c>
      <c r="C218" t="s">
        <v>9</v>
      </c>
      <c r="D218" t="s">
        <v>10</v>
      </c>
      <c r="E218" t="s">
        <v>11</v>
      </c>
      <c r="F218">
        <v>4</v>
      </c>
      <c r="G218" s="5">
        <v>45</v>
      </c>
      <c r="H218" s="6">
        <f t="shared" si="3"/>
        <v>180</v>
      </c>
    </row>
    <row r="219" spans="1:8" x14ac:dyDescent="0.25">
      <c r="A219" t="s">
        <v>457</v>
      </c>
      <c r="B219" t="s">
        <v>458</v>
      </c>
      <c r="C219" t="s">
        <v>14</v>
      </c>
      <c r="D219" t="s">
        <v>15</v>
      </c>
      <c r="E219" t="s">
        <v>16</v>
      </c>
      <c r="F219">
        <v>8</v>
      </c>
      <c r="G219" s="5">
        <v>25</v>
      </c>
      <c r="H219" s="6">
        <f t="shared" si="3"/>
        <v>200</v>
      </c>
    </row>
    <row r="220" spans="1:8" x14ac:dyDescent="0.25">
      <c r="A220" t="s">
        <v>459</v>
      </c>
      <c r="B220" t="s">
        <v>460</v>
      </c>
      <c r="C220" t="s">
        <v>20</v>
      </c>
      <c r="D220" t="s">
        <v>21</v>
      </c>
      <c r="E220" t="s">
        <v>22</v>
      </c>
      <c r="F220">
        <v>1</v>
      </c>
      <c r="G220" s="5">
        <v>1000</v>
      </c>
      <c r="H220" s="6">
        <f t="shared" si="3"/>
        <v>1000</v>
      </c>
    </row>
    <row r="221" spans="1:8" x14ac:dyDescent="0.25">
      <c r="A221" t="s">
        <v>461</v>
      </c>
      <c r="B221" t="s">
        <v>462</v>
      </c>
      <c r="C221" t="s">
        <v>25</v>
      </c>
      <c r="D221" t="s">
        <v>26</v>
      </c>
      <c r="E221" t="s">
        <v>17</v>
      </c>
      <c r="F221">
        <v>2</v>
      </c>
      <c r="G221" s="5">
        <v>750</v>
      </c>
      <c r="H221" s="6">
        <f t="shared" si="3"/>
        <v>1500</v>
      </c>
    </row>
    <row r="222" spans="1:8" x14ac:dyDescent="0.25">
      <c r="A222" t="s">
        <v>463</v>
      </c>
      <c r="B222" t="s">
        <v>464</v>
      </c>
      <c r="C222" t="s">
        <v>29</v>
      </c>
      <c r="D222" t="s">
        <v>10</v>
      </c>
      <c r="E222" t="s">
        <v>11</v>
      </c>
      <c r="F222">
        <v>2</v>
      </c>
      <c r="G222" s="5">
        <v>500</v>
      </c>
      <c r="H222" s="6">
        <f t="shared" si="3"/>
        <v>1000</v>
      </c>
    </row>
    <row r="223" spans="1:8" x14ac:dyDescent="0.25">
      <c r="A223" t="s">
        <v>465</v>
      </c>
      <c r="B223" t="s">
        <v>466</v>
      </c>
      <c r="C223" t="s">
        <v>32</v>
      </c>
      <c r="D223" t="s">
        <v>15</v>
      </c>
      <c r="E223" t="s">
        <v>16</v>
      </c>
      <c r="F223">
        <v>1</v>
      </c>
      <c r="G223" s="5">
        <v>800</v>
      </c>
      <c r="H223" s="6">
        <f t="shared" si="3"/>
        <v>800</v>
      </c>
    </row>
    <row r="224" spans="1:8" x14ac:dyDescent="0.25">
      <c r="A224" t="s">
        <v>467</v>
      </c>
      <c r="B224" t="s">
        <v>468</v>
      </c>
      <c r="C224" t="s">
        <v>35</v>
      </c>
      <c r="D224" t="s">
        <v>21</v>
      </c>
      <c r="E224" t="s">
        <v>22</v>
      </c>
      <c r="F224">
        <v>5</v>
      </c>
      <c r="G224" s="5">
        <v>50</v>
      </c>
      <c r="H224" s="6">
        <f t="shared" si="3"/>
        <v>250</v>
      </c>
    </row>
    <row r="225" spans="1:8" x14ac:dyDescent="0.25">
      <c r="A225" t="s">
        <v>469</v>
      </c>
      <c r="B225" t="s">
        <v>470</v>
      </c>
      <c r="C225" t="s">
        <v>38</v>
      </c>
      <c r="D225" t="s">
        <v>26</v>
      </c>
      <c r="E225" t="s">
        <v>17</v>
      </c>
      <c r="F225">
        <v>10</v>
      </c>
      <c r="G225" s="5">
        <v>20</v>
      </c>
      <c r="H225" s="6">
        <f t="shared" si="3"/>
        <v>200</v>
      </c>
    </row>
    <row r="226" spans="1:8" x14ac:dyDescent="0.25">
      <c r="A226" t="s">
        <v>471</v>
      </c>
      <c r="B226" t="s">
        <v>472</v>
      </c>
      <c r="C226" t="s">
        <v>9</v>
      </c>
      <c r="D226" t="s">
        <v>10</v>
      </c>
      <c r="E226" t="s">
        <v>11</v>
      </c>
      <c r="F226">
        <v>3</v>
      </c>
      <c r="G226" s="5">
        <v>600</v>
      </c>
      <c r="H226" s="6">
        <f t="shared" si="3"/>
        <v>1800</v>
      </c>
    </row>
    <row r="227" spans="1:8" x14ac:dyDescent="0.25">
      <c r="A227" t="s">
        <v>473</v>
      </c>
      <c r="B227" t="s">
        <v>474</v>
      </c>
      <c r="C227" t="s">
        <v>14</v>
      </c>
      <c r="D227" t="s">
        <v>15</v>
      </c>
      <c r="E227" t="s">
        <v>16</v>
      </c>
      <c r="F227">
        <v>2</v>
      </c>
      <c r="G227" s="5">
        <v>700</v>
      </c>
      <c r="H227" s="6">
        <f t="shared" si="3"/>
        <v>1400</v>
      </c>
    </row>
    <row r="228" spans="1:8" x14ac:dyDescent="0.25">
      <c r="A228" t="s">
        <v>475</v>
      </c>
      <c r="B228" t="s">
        <v>476</v>
      </c>
      <c r="C228" t="s">
        <v>20</v>
      </c>
      <c r="D228" t="s">
        <v>21</v>
      </c>
      <c r="E228" t="s">
        <v>22</v>
      </c>
      <c r="F228">
        <v>4</v>
      </c>
      <c r="G228" s="5">
        <v>45</v>
      </c>
      <c r="H228" s="6">
        <f t="shared" si="3"/>
        <v>180</v>
      </c>
    </row>
    <row r="229" spans="1:8" x14ac:dyDescent="0.25">
      <c r="A229" t="s">
        <v>477</v>
      </c>
      <c r="B229" t="s">
        <v>478</v>
      </c>
      <c r="C229" t="s">
        <v>25</v>
      </c>
      <c r="D229" t="s">
        <v>26</v>
      </c>
      <c r="E229" t="s">
        <v>17</v>
      </c>
      <c r="F229">
        <v>8</v>
      </c>
      <c r="G229" s="5">
        <v>25</v>
      </c>
      <c r="H229" s="6">
        <f t="shared" si="3"/>
        <v>200</v>
      </c>
    </row>
    <row r="230" spans="1:8" x14ac:dyDescent="0.25">
      <c r="A230" t="s">
        <v>479</v>
      </c>
      <c r="B230" t="s">
        <v>480</v>
      </c>
      <c r="C230" t="s">
        <v>29</v>
      </c>
      <c r="D230" t="s">
        <v>10</v>
      </c>
      <c r="E230" t="s">
        <v>11</v>
      </c>
      <c r="F230">
        <v>1</v>
      </c>
      <c r="G230" s="5">
        <v>1000</v>
      </c>
      <c r="H230" s="6">
        <f t="shared" si="3"/>
        <v>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0E9F-BF11-4C00-81E1-DFBE40331F49}">
  <dimension ref="B1:B10"/>
  <sheetViews>
    <sheetView tabSelected="1" workbookViewId="0">
      <selection activeCell="B1" sqref="B1"/>
    </sheetView>
  </sheetViews>
  <sheetFormatPr defaultRowHeight="15" x14ac:dyDescent="0.25"/>
  <sheetData>
    <row r="1" spans="2:2" ht="18.75" x14ac:dyDescent="0.3">
      <c r="B1" s="9" t="s">
        <v>512</v>
      </c>
    </row>
    <row r="2" spans="2:2" x14ac:dyDescent="0.25">
      <c r="B2" s="10" t="s">
        <v>507</v>
      </c>
    </row>
    <row r="3" spans="2:2" x14ac:dyDescent="0.25">
      <c r="B3" s="10"/>
    </row>
    <row r="4" spans="2:2" x14ac:dyDescent="0.25">
      <c r="B4" s="10" t="s">
        <v>508</v>
      </c>
    </row>
    <row r="5" spans="2:2" x14ac:dyDescent="0.25">
      <c r="B5" s="10"/>
    </row>
    <row r="6" spans="2:2" x14ac:dyDescent="0.25">
      <c r="B6" s="10" t="s">
        <v>509</v>
      </c>
    </row>
    <row r="7" spans="2:2" x14ac:dyDescent="0.25">
      <c r="B7" s="10"/>
    </row>
    <row r="8" spans="2:2" x14ac:dyDescent="0.25">
      <c r="B8" s="10" t="s">
        <v>510</v>
      </c>
    </row>
    <row r="9" spans="2:2" x14ac:dyDescent="0.25">
      <c r="B9" s="10"/>
    </row>
    <row r="10" spans="2:2" x14ac:dyDescent="0.25">
      <c r="B10" s="10" t="s">
        <v>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09C2-70A5-4269-B213-086431490EC3}">
  <dimension ref="A1:H230"/>
  <sheetViews>
    <sheetView workbookViewId="0">
      <selection activeCell="E1" sqref="E1"/>
    </sheetView>
  </sheetViews>
  <sheetFormatPr defaultRowHeight="15" x14ac:dyDescent="0.25"/>
  <cols>
    <col min="1" max="1" width="11.5703125" customWidth="1"/>
    <col min="2" max="2" width="15" customWidth="1"/>
    <col min="3" max="3" width="18.42578125" customWidth="1"/>
    <col min="4" max="4" width="9.28515625" customWidth="1"/>
    <col min="5" max="5" width="10.85546875" customWidth="1"/>
    <col min="6" max="6" width="11.28515625" customWidth="1"/>
    <col min="7" max="7" width="12.42578125" customWidth="1"/>
    <col min="8" max="8" width="10.5703125" customWidth="1"/>
  </cols>
  <sheetData>
    <row r="1" spans="1:8" x14ac:dyDescent="0.25">
      <c r="A1" t="s">
        <v>0</v>
      </c>
      <c r="B1" t="s">
        <v>1</v>
      </c>
      <c r="C1" t="s">
        <v>2</v>
      </c>
      <c r="D1" t="s">
        <v>3</v>
      </c>
      <c r="E1" t="s">
        <v>4</v>
      </c>
      <c r="F1" t="s">
        <v>5</v>
      </c>
      <c r="G1" t="s">
        <v>6</v>
      </c>
      <c r="H1" t="s">
        <v>513</v>
      </c>
    </row>
    <row r="2" spans="1:8" x14ac:dyDescent="0.25">
      <c r="A2" t="s">
        <v>18</v>
      </c>
      <c r="B2" t="s">
        <v>19</v>
      </c>
      <c r="C2" t="s">
        <v>20</v>
      </c>
      <c r="D2" t="s">
        <v>21</v>
      </c>
      <c r="E2" t="s">
        <v>22</v>
      </c>
      <c r="F2">
        <v>5</v>
      </c>
      <c r="G2">
        <v>50</v>
      </c>
      <c r="H2">
        <v>250</v>
      </c>
    </row>
    <row r="3" spans="1:8" x14ac:dyDescent="0.25">
      <c r="A3" t="s">
        <v>33</v>
      </c>
      <c r="B3" t="s">
        <v>34</v>
      </c>
      <c r="C3" t="s">
        <v>35</v>
      </c>
      <c r="D3" t="s">
        <v>21</v>
      </c>
      <c r="E3" t="s">
        <v>22</v>
      </c>
      <c r="F3">
        <v>4</v>
      </c>
      <c r="G3">
        <v>45</v>
      </c>
      <c r="H3">
        <v>180</v>
      </c>
    </row>
    <row r="4" spans="1:8" x14ac:dyDescent="0.25">
      <c r="A4" t="s">
        <v>43</v>
      </c>
      <c r="B4" t="s">
        <v>44</v>
      </c>
      <c r="C4" t="s">
        <v>20</v>
      </c>
      <c r="D4" t="s">
        <v>21</v>
      </c>
      <c r="E4" t="s">
        <v>22</v>
      </c>
      <c r="F4">
        <v>2</v>
      </c>
      <c r="G4">
        <v>500</v>
      </c>
      <c r="H4">
        <v>1000</v>
      </c>
    </row>
    <row r="5" spans="1:8" x14ac:dyDescent="0.25">
      <c r="A5" t="s">
        <v>51</v>
      </c>
      <c r="B5" t="s">
        <v>52</v>
      </c>
      <c r="C5" t="s">
        <v>35</v>
      </c>
      <c r="D5" t="s">
        <v>21</v>
      </c>
      <c r="E5" t="s">
        <v>22</v>
      </c>
      <c r="F5">
        <v>3</v>
      </c>
      <c r="G5">
        <v>600</v>
      </c>
      <c r="H5">
        <v>1800</v>
      </c>
    </row>
    <row r="6" spans="1:8" x14ac:dyDescent="0.25">
      <c r="A6" t="s">
        <v>59</v>
      </c>
      <c r="B6" t="s">
        <v>60</v>
      </c>
      <c r="C6" t="s">
        <v>20</v>
      </c>
      <c r="D6" t="s">
        <v>21</v>
      </c>
      <c r="E6" t="s">
        <v>22</v>
      </c>
      <c r="F6">
        <v>1</v>
      </c>
      <c r="G6">
        <v>1000</v>
      </c>
      <c r="H6">
        <v>1000</v>
      </c>
    </row>
    <row r="7" spans="1:8" x14ac:dyDescent="0.25">
      <c r="A7" t="s">
        <v>67</v>
      </c>
      <c r="B7" t="s">
        <v>68</v>
      </c>
      <c r="C7" t="s">
        <v>35</v>
      </c>
      <c r="D7" t="s">
        <v>21</v>
      </c>
      <c r="E7" t="s">
        <v>22</v>
      </c>
      <c r="F7">
        <v>5</v>
      </c>
      <c r="G7">
        <v>50</v>
      </c>
      <c r="H7">
        <v>250</v>
      </c>
    </row>
    <row r="8" spans="1:8" x14ac:dyDescent="0.25">
      <c r="A8" t="s">
        <v>75</v>
      </c>
      <c r="B8" t="s">
        <v>76</v>
      </c>
      <c r="C8" t="s">
        <v>20</v>
      </c>
      <c r="D8" t="s">
        <v>21</v>
      </c>
      <c r="E8" t="s">
        <v>22</v>
      </c>
      <c r="F8">
        <v>4</v>
      </c>
      <c r="G8">
        <v>45</v>
      </c>
      <c r="H8">
        <v>180</v>
      </c>
    </row>
    <row r="9" spans="1:8" x14ac:dyDescent="0.25">
      <c r="A9" t="s">
        <v>83</v>
      </c>
      <c r="B9" t="s">
        <v>84</v>
      </c>
      <c r="C9" t="s">
        <v>35</v>
      </c>
      <c r="D9" t="s">
        <v>21</v>
      </c>
      <c r="E9" t="s">
        <v>22</v>
      </c>
      <c r="F9">
        <v>2</v>
      </c>
      <c r="G9">
        <v>500</v>
      </c>
      <c r="H9">
        <v>1000</v>
      </c>
    </row>
    <row r="10" spans="1:8" x14ac:dyDescent="0.25">
      <c r="A10" t="s">
        <v>91</v>
      </c>
      <c r="B10" t="s">
        <v>92</v>
      </c>
      <c r="C10" t="s">
        <v>20</v>
      </c>
      <c r="D10" t="s">
        <v>21</v>
      </c>
      <c r="E10" t="s">
        <v>22</v>
      </c>
      <c r="F10">
        <v>3</v>
      </c>
      <c r="G10">
        <v>600</v>
      </c>
      <c r="H10">
        <v>1800</v>
      </c>
    </row>
    <row r="11" spans="1:8" x14ac:dyDescent="0.25">
      <c r="A11" t="s">
        <v>99</v>
      </c>
      <c r="B11" t="s">
        <v>100</v>
      </c>
      <c r="C11" t="s">
        <v>35</v>
      </c>
      <c r="D11" t="s">
        <v>21</v>
      </c>
      <c r="E11" t="s">
        <v>22</v>
      </c>
      <c r="F11">
        <v>1</v>
      </c>
      <c r="G11">
        <v>1000</v>
      </c>
      <c r="H11">
        <v>1000</v>
      </c>
    </row>
    <row r="12" spans="1:8" x14ac:dyDescent="0.25">
      <c r="A12" t="s">
        <v>107</v>
      </c>
      <c r="B12" t="s">
        <v>108</v>
      </c>
      <c r="C12" t="s">
        <v>20</v>
      </c>
      <c r="D12" t="s">
        <v>21</v>
      </c>
      <c r="E12" t="s">
        <v>22</v>
      </c>
      <c r="F12">
        <v>5</v>
      </c>
      <c r="G12">
        <v>50</v>
      </c>
      <c r="H12">
        <v>250</v>
      </c>
    </row>
    <row r="13" spans="1:8" x14ac:dyDescent="0.25">
      <c r="A13" t="s">
        <v>115</v>
      </c>
      <c r="B13" t="s">
        <v>116</v>
      </c>
      <c r="C13" t="s">
        <v>35</v>
      </c>
      <c r="D13" t="s">
        <v>21</v>
      </c>
      <c r="E13" t="s">
        <v>22</v>
      </c>
      <c r="F13">
        <v>4</v>
      </c>
      <c r="G13">
        <v>45</v>
      </c>
      <c r="H13">
        <v>180</v>
      </c>
    </row>
    <row r="14" spans="1:8" x14ac:dyDescent="0.25">
      <c r="A14" t="s">
        <v>123</v>
      </c>
      <c r="B14" t="s">
        <v>124</v>
      </c>
      <c r="C14" t="s">
        <v>20</v>
      </c>
      <c r="D14" t="s">
        <v>21</v>
      </c>
      <c r="E14" t="s">
        <v>22</v>
      </c>
      <c r="F14">
        <v>2</v>
      </c>
      <c r="G14">
        <v>500</v>
      </c>
      <c r="H14">
        <v>1000</v>
      </c>
    </row>
    <row r="15" spans="1:8" x14ac:dyDescent="0.25">
      <c r="A15" t="s">
        <v>131</v>
      </c>
      <c r="B15" t="s">
        <v>132</v>
      </c>
      <c r="C15" t="s">
        <v>35</v>
      </c>
      <c r="D15" t="s">
        <v>21</v>
      </c>
      <c r="E15" t="s">
        <v>22</v>
      </c>
      <c r="F15">
        <v>3</v>
      </c>
      <c r="G15">
        <v>600</v>
      </c>
      <c r="H15">
        <v>1800</v>
      </c>
    </row>
    <row r="16" spans="1:8" x14ac:dyDescent="0.25">
      <c r="A16" t="s">
        <v>139</v>
      </c>
      <c r="B16" t="s">
        <v>140</v>
      </c>
      <c r="C16" t="s">
        <v>20</v>
      </c>
      <c r="D16" t="s">
        <v>21</v>
      </c>
      <c r="E16" t="s">
        <v>22</v>
      </c>
      <c r="F16">
        <v>1</v>
      </c>
      <c r="G16">
        <v>1000</v>
      </c>
      <c r="H16">
        <v>1000</v>
      </c>
    </row>
    <row r="17" spans="1:8" x14ac:dyDescent="0.25">
      <c r="A17" t="s">
        <v>147</v>
      </c>
      <c r="B17" t="s">
        <v>148</v>
      </c>
      <c r="C17" t="s">
        <v>35</v>
      </c>
      <c r="D17" t="s">
        <v>21</v>
      </c>
      <c r="E17" t="s">
        <v>22</v>
      </c>
      <c r="F17">
        <v>5</v>
      </c>
      <c r="G17">
        <v>50</v>
      </c>
      <c r="H17">
        <v>250</v>
      </c>
    </row>
    <row r="18" spans="1:8" x14ac:dyDescent="0.25">
      <c r="A18" t="s">
        <v>155</v>
      </c>
      <c r="B18" t="s">
        <v>156</v>
      </c>
      <c r="C18" t="s">
        <v>20</v>
      </c>
      <c r="D18" t="s">
        <v>21</v>
      </c>
      <c r="E18" t="s">
        <v>22</v>
      </c>
      <c r="F18">
        <v>4</v>
      </c>
      <c r="G18">
        <v>45</v>
      </c>
      <c r="H18">
        <v>180</v>
      </c>
    </row>
    <row r="19" spans="1:8" x14ac:dyDescent="0.25">
      <c r="A19" t="s">
        <v>163</v>
      </c>
      <c r="B19" t="s">
        <v>164</v>
      </c>
      <c r="C19" t="s">
        <v>35</v>
      </c>
      <c r="D19" t="s">
        <v>21</v>
      </c>
      <c r="E19" t="s">
        <v>22</v>
      </c>
      <c r="F19">
        <v>2</v>
      </c>
      <c r="G19">
        <v>500</v>
      </c>
      <c r="H19">
        <v>1000</v>
      </c>
    </row>
    <row r="20" spans="1:8" x14ac:dyDescent="0.25">
      <c r="A20" t="s">
        <v>171</v>
      </c>
      <c r="B20" t="s">
        <v>172</v>
      </c>
      <c r="C20" t="s">
        <v>20</v>
      </c>
      <c r="D20" t="s">
        <v>21</v>
      </c>
      <c r="E20" t="s">
        <v>22</v>
      </c>
      <c r="F20">
        <v>3</v>
      </c>
      <c r="G20">
        <v>600</v>
      </c>
      <c r="H20">
        <v>1800</v>
      </c>
    </row>
    <row r="21" spans="1:8" x14ac:dyDescent="0.25">
      <c r="A21" t="s">
        <v>179</v>
      </c>
      <c r="B21" t="s">
        <v>180</v>
      </c>
      <c r="C21" t="s">
        <v>35</v>
      </c>
      <c r="D21" t="s">
        <v>21</v>
      </c>
      <c r="E21" t="s">
        <v>22</v>
      </c>
      <c r="F21">
        <v>1</v>
      </c>
      <c r="G21">
        <v>1000</v>
      </c>
      <c r="H21">
        <v>1000</v>
      </c>
    </row>
    <row r="22" spans="1:8" x14ac:dyDescent="0.25">
      <c r="A22" t="s">
        <v>187</v>
      </c>
      <c r="B22" t="s">
        <v>188</v>
      </c>
      <c r="C22" t="s">
        <v>20</v>
      </c>
      <c r="D22" t="s">
        <v>21</v>
      </c>
      <c r="E22" t="s">
        <v>22</v>
      </c>
      <c r="F22">
        <v>5</v>
      </c>
      <c r="G22">
        <v>50</v>
      </c>
      <c r="H22">
        <v>250</v>
      </c>
    </row>
    <row r="23" spans="1:8" x14ac:dyDescent="0.25">
      <c r="A23" t="s">
        <v>195</v>
      </c>
      <c r="B23" t="s">
        <v>196</v>
      </c>
      <c r="C23" t="s">
        <v>35</v>
      </c>
      <c r="D23" t="s">
        <v>21</v>
      </c>
      <c r="E23" t="s">
        <v>22</v>
      </c>
      <c r="F23">
        <v>4</v>
      </c>
      <c r="G23">
        <v>45</v>
      </c>
      <c r="H23">
        <v>180</v>
      </c>
    </row>
    <row r="24" spans="1:8" x14ac:dyDescent="0.25">
      <c r="A24" t="s">
        <v>203</v>
      </c>
      <c r="B24" t="s">
        <v>204</v>
      </c>
      <c r="C24" t="s">
        <v>20</v>
      </c>
      <c r="D24" t="s">
        <v>21</v>
      </c>
      <c r="E24" t="s">
        <v>22</v>
      </c>
      <c r="F24">
        <v>2</v>
      </c>
      <c r="G24">
        <v>500</v>
      </c>
      <c r="H24">
        <v>1000</v>
      </c>
    </row>
    <row r="25" spans="1:8" x14ac:dyDescent="0.25">
      <c r="A25" t="s">
        <v>211</v>
      </c>
      <c r="B25" t="s">
        <v>212</v>
      </c>
      <c r="C25" t="s">
        <v>35</v>
      </c>
      <c r="D25" t="s">
        <v>21</v>
      </c>
      <c r="E25" t="s">
        <v>22</v>
      </c>
      <c r="F25">
        <v>3</v>
      </c>
      <c r="G25">
        <v>600</v>
      </c>
      <c r="H25">
        <v>1800</v>
      </c>
    </row>
    <row r="26" spans="1:8" x14ac:dyDescent="0.25">
      <c r="A26" t="s">
        <v>219</v>
      </c>
      <c r="B26" t="s">
        <v>220</v>
      </c>
      <c r="C26" t="s">
        <v>20</v>
      </c>
      <c r="D26" t="s">
        <v>21</v>
      </c>
      <c r="E26" t="s">
        <v>22</v>
      </c>
      <c r="F26">
        <v>1</v>
      </c>
      <c r="G26">
        <v>1000</v>
      </c>
      <c r="H26">
        <v>1000</v>
      </c>
    </row>
    <row r="27" spans="1:8" x14ac:dyDescent="0.25">
      <c r="A27" t="s">
        <v>227</v>
      </c>
      <c r="B27" t="s">
        <v>228</v>
      </c>
      <c r="C27" t="s">
        <v>35</v>
      </c>
      <c r="D27" t="s">
        <v>21</v>
      </c>
      <c r="E27" t="s">
        <v>22</v>
      </c>
      <c r="F27">
        <v>5</v>
      </c>
      <c r="G27">
        <v>50</v>
      </c>
      <c r="H27">
        <v>250</v>
      </c>
    </row>
    <row r="28" spans="1:8" x14ac:dyDescent="0.25">
      <c r="A28" t="s">
        <v>235</v>
      </c>
      <c r="B28" t="s">
        <v>236</v>
      </c>
      <c r="C28" t="s">
        <v>20</v>
      </c>
      <c r="D28" t="s">
        <v>21</v>
      </c>
      <c r="E28" t="s">
        <v>22</v>
      </c>
      <c r="F28">
        <v>4</v>
      </c>
      <c r="G28">
        <v>45</v>
      </c>
      <c r="H28">
        <v>180</v>
      </c>
    </row>
    <row r="29" spans="1:8" x14ac:dyDescent="0.25">
      <c r="A29" t="s">
        <v>243</v>
      </c>
      <c r="B29" t="s">
        <v>244</v>
      </c>
      <c r="C29" t="s">
        <v>35</v>
      </c>
      <c r="D29" t="s">
        <v>21</v>
      </c>
      <c r="E29" t="s">
        <v>22</v>
      </c>
      <c r="F29">
        <v>2</v>
      </c>
      <c r="G29">
        <v>500</v>
      </c>
      <c r="H29">
        <v>1000</v>
      </c>
    </row>
    <row r="30" spans="1:8" x14ac:dyDescent="0.25">
      <c r="A30" t="s">
        <v>251</v>
      </c>
      <c r="B30" t="s">
        <v>252</v>
      </c>
      <c r="C30" t="s">
        <v>20</v>
      </c>
      <c r="D30" t="s">
        <v>21</v>
      </c>
      <c r="E30" t="s">
        <v>22</v>
      </c>
      <c r="F30">
        <v>3</v>
      </c>
      <c r="G30">
        <v>600</v>
      </c>
      <c r="H30">
        <v>1800</v>
      </c>
    </row>
    <row r="31" spans="1:8" x14ac:dyDescent="0.25">
      <c r="A31" t="s">
        <v>259</v>
      </c>
      <c r="B31" t="s">
        <v>260</v>
      </c>
      <c r="C31" t="s">
        <v>35</v>
      </c>
      <c r="D31" t="s">
        <v>21</v>
      </c>
      <c r="E31" t="s">
        <v>22</v>
      </c>
      <c r="F31">
        <v>1</v>
      </c>
      <c r="G31">
        <v>1000</v>
      </c>
      <c r="H31">
        <v>1000</v>
      </c>
    </row>
    <row r="32" spans="1:8" x14ac:dyDescent="0.25">
      <c r="A32" t="s">
        <v>267</v>
      </c>
      <c r="B32" t="s">
        <v>268</v>
      </c>
      <c r="C32" t="s">
        <v>20</v>
      </c>
      <c r="D32" t="s">
        <v>21</v>
      </c>
      <c r="E32" t="s">
        <v>22</v>
      </c>
      <c r="F32">
        <v>5</v>
      </c>
      <c r="G32">
        <v>50</v>
      </c>
      <c r="H32">
        <v>250</v>
      </c>
    </row>
    <row r="33" spans="1:8" x14ac:dyDescent="0.25">
      <c r="A33" t="s">
        <v>275</v>
      </c>
      <c r="B33" t="s">
        <v>276</v>
      </c>
      <c r="C33" t="s">
        <v>35</v>
      </c>
      <c r="D33" t="s">
        <v>21</v>
      </c>
      <c r="E33" t="s">
        <v>22</v>
      </c>
      <c r="F33">
        <v>4</v>
      </c>
      <c r="G33">
        <v>45</v>
      </c>
      <c r="H33">
        <v>180</v>
      </c>
    </row>
    <row r="34" spans="1:8" x14ac:dyDescent="0.25">
      <c r="A34" t="s">
        <v>283</v>
      </c>
      <c r="B34" t="s">
        <v>284</v>
      </c>
      <c r="C34" t="s">
        <v>20</v>
      </c>
      <c r="D34" t="s">
        <v>21</v>
      </c>
      <c r="E34" t="s">
        <v>22</v>
      </c>
      <c r="F34">
        <v>2</v>
      </c>
      <c r="G34">
        <v>500</v>
      </c>
      <c r="H34">
        <v>1000</v>
      </c>
    </row>
    <row r="35" spans="1:8" x14ac:dyDescent="0.25">
      <c r="A35" t="s">
        <v>291</v>
      </c>
      <c r="B35" t="s">
        <v>292</v>
      </c>
      <c r="C35" t="s">
        <v>35</v>
      </c>
      <c r="D35" t="s">
        <v>21</v>
      </c>
      <c r="E35" t="s">
        <v>22</v>
      </c>
      <c r="F35">
        <v>3</v>
      </c>
      <c r="G35">
        <v>600</v>
      </c>
      <c r="H35">
        <v>1800</v>
      </c>
    </row>
    <row r="36" spans="1:8" x14ac:dyDescent="0.25">
      <c r="A36" t="s">
        <v>299</v>
      </c>
      <c r="B36" t="s">
        <v>300</v>
      </c>
      <c r="C36" t="s">
        <v>20</v>
      </c>
      <c r="D36" t="s">
        <v>21</v>
      </c>
      <c r="E36" t="s">
        <v>22</v>
      </c>
      <c r="F36">
        <v>1</v>
      </c>
      <c r="G36">
        <v>1000</v>
      </c>
      <c r="H36">
        <v>1000</v>
      </c>
    </row>
    <row r="37" spans="1:8" x14ac:dyDescent="0.25">
      <c r="A37" t="s">
        <v>307</v>
      </c>
      <c r="B37" t="s">
        <v>308</v>
      </c>
      <c r="C37" t="s">
        <v>35</v>
      </c>
      <c r="D37" t="s">
        <v>21</v>
      </c>
      <c r="E37" t="s">
        <v>22</v>
      </c>
      <c r="F37">
        <v>5</v>
      </c>
      <c r="G37">
        <v>50</v>
      </c>
      <c r="H37">
        <v>250</v>
      </c>
    </row>
    <row r="38" spans="1:8" x14ac:dyDescent="0.25">
      <c r="A38" t="s">
        <v>315</v>
      </c>
      <c r="B38" t="s">
        <v>316</v>
      </c>
      <c r="C38" t="s">
        <v>20</v>
      </c>
      <c r="D38" t="s">
        <v>21</v>
      </c>
      <c r="E38" t="s">
        <v>22</v>
      </c>
      <c r="F38">
        <v>4</v>
      </c>
      <c r="G38">
        <v>45</v>
      </c>
      <c r="H38">
        <v>180</v>
      </c>
    </row>
    <row r="39" spans="1:8" x14ac:dyDescent="0.25">
      <c r="A39" t="s">
        <v>323</v>
      </c>
      <c r="B39" t="s">
        <v>324</v>
      </c>
      <c r="C39" t="s">
        <v>35</v>
      </c>
      <c r="D39" t="s">
        <v>21</v>
      </c>
      <c r="E39" t="s">
        <v>22</v>
      </c>
      <c r="F39">
        <v>2</v>
      </c>
      <c r="G39">
        <v>500</v>
      </c>
      <c r="H39">
        <v>1000</v>
      </c>
    </row>
    <row r="40" spans="1:8" x14ac:dyDescent="0.25">
      <c r="A40" t="s">
        <v>331</v>
      </c>
      <c r="B40" t="s">
        <v>332</v>
      </c>
      <c r="C40" t="s">
        <v>20</v>
      </c>
      <c r="D40" t="s">
        <v>21</v>
      </c>
      <c r="E40" t="s">
        <v>22</v>
      </c>
      <c r="F40">
        <v>3</v>
      </c>
      <c r="G40">
        <v>600</v>
      </c>
      <c r="H40">
        <v>1800</v>
      </c>
    </row>
    <row r="41" spans="1:8" x14ac:dyDescent="0.25">
      <c r="A41" t="s">
        <v>339</v>
      </c>
      <c r="B41" t="s">
        <v>340</v>
      </c>
      <c r="C41" t="s">
        <v>35</v>
      </c>
      <c r="D41" t="s">
        <v>21</v>
      </c>
      <c r="E41" t="s">
        <v>22</v>
      </c>
      <c r="F41">
        <v>1</v>
      </c>
      <c r="G41">
        <v>1000</v>
      </c>
      <c r="H41">
        <v>1000</v>
      </c>
    </row>
    <row r="42" spans="1:8" x14ac:dyDescent="0.25">
      <c r="A42" t="s">
        <v>347</v>
      </c>
      <c r="B42" t="s">
        <v>348</v>
      </c>
      <c r="C42" t="s">
        <v>20</v>
      </c>
      <c r="D42" t="s">
        <v>21</v>
      </c>
      <c r="E42" t="s">
        <v>22</v>
      </c>
      <c r="F42">
        <v>5</v>
      </c>
      <c r="G42">
        <v>50</v>
      </c>
      <c r="H42">
        <v>250</v>
      </c>
    </row>
    <row r="43" spans="1:8" x14ac:dyDescent="0.25">
      <c r="A43" t="s">
        <v>355</v>
      </c>
      <c r="B43" t="s">
        <v>356</v>
      </c>
      <c r="C43" t="s">
        <v>35</v>
      </c>
      <c r="D43" t="s">
        <v>21</v>
      </c>
      <c r="E43" t="s">
        <v>22</v>
      </c>
      <c r="F43">
        <v>4</v>
      </c>
      <c r="G43">
        <v>45</v>
      </c>
      <c r="H43">
        <v>180</v>
      </c>
    </row>
    <row r="44" spans="1:8" x14ac:dyDescent="0.25">
      <c r="A44" t="s">
        <v>363</v>
      </c>
      <c r="B44" t="s">
        <v>364</v>
      </c>
      <c r="C44" t="s">
        <v>20</v>
      </c>
      <c r="D44" t="s">
        <v>21</v>
      </c>
      <c r="E44" t="s">
        <v>22</v>
      </c>
      <c r="F44">
        <v>2</v>
      </c>
      <c r="G44">
        <v>500</v>
      </c>
      <c r="H44">
        <v>1000</v>
      </c>
    </row>
    <row r="45" spans="1:8" x14ac:dyDescent="0.25">
      <c r="A45" t="s">
        <v>371</v>
      </c>
      <c r="B45" t="s">
        <v>372</v>
      </c>
      <c r="C45" t="s">
        <v>35</v>
      </c>
      <c r="D45" t="s">
        <v>21</v>
      </c>
      <c r="E45" t="s">
        <v>22</v>
      </c>
      <c r="F45">
        <v>3</v>
      </c>
      <c r="G45">
        <v>600</v>
      </c>
      <c r="H45">
        <v>1800</v>
      </c>
    </row>
    <row r="46" spans="1:8" x14ac:dyDescent="0.25">
      <c r="A46" t="s">
        <v>379</v>
      </c>
      <c r="B46" t="s">
        <v>380</v>
      </c>
      <c r="C46" t="s">
        <v>20</v>
      </c>
      <c r="D46" t="s">
        <v>21</v>
      </c>
      <c r="E46" t="s">
        <v>22</v>
      </c>
      <c r="F46">
        <v>1</v>
      </c>
      <c r="G46">
        <v>1000</v>
      </c>
      <c r="H46">
        <v>1000</v>
      </c>
    </row>
    <row r="47" spans="1:8" x14ac:dyDescent="0.25">
      <c r="A47" t="s">
        <v>387</v>
      </c>
      <c r="B47" t="s">
        <v>388</v>
      </c>
      <c r="C47" t="s">
        <v>35</v>
      </c>
      <c r="D47" t="s">
        <v>21</v>
      </c>
      <c r="E47" t="s">
        <v>22</v>
      </c>
      <c r="F47">
        <v>5</v>
      </c>
      <c r="G47">
        <v>50</v>
      </c>
      <c r="H47">
        <v>250</v>
      </c>
    </row>
    <row r="48" spans="1:8" x14ac:dyDescent="0.25">
      <c r="A48" t="s">
        <v>395</v>
      </c>
      <c r="B48" t="s">
        <v>396</v>
      </c>
      <c r="C48" t="s">
        <v>20</v>
      </c>
      <c r="D48" t="s">
        <v>21</v>
      </c>
      <c r="E48" t="s">
        <v>22</v>
      </c>
      <c r="F48">
        <v>4</v>
      </c>
      <c r="G48">
        <v>45</v>
      </c>
      <c r="H48">
        <v>180</v>
      </c>
    </row>
    <row r="49" spans="1:8" x14ac:dyDescent="0.25">
      <c r="A49" t="s">
        <v>403</v>
      </c>
      <c r="B49" t="s">
        <v>404</v>
      </c>
      <c r="C49" t="s">
        <v>35</v>
      </c>
      <c r="D49" t="s">
        <v>21</v>
      </c>
      <c r="E49" t="s">
        <v>22</v>
      </c>
      <c r="F49">
        <v>2</v>
      </c>
      <c r="G49">
        <v>500</v>
      </c>
      <c r="H49">
        <v>1000</v>
      </c>
    </row>
    <row r="50" spans="1:8" x14ac:dyDescent="0.25">
      <c r="A50" t="s">
        <v>411</v>
      </c>
      <c r="B50" t="s">
        <v>412</v>
      </c>
      <c r="C50" t="s">
        <v>20</v>
      </c>
      <c r="D50" t="s">
        <v>21</v>
      </c>
      <c r="E50" t="s">
        <v>22</v>
      </c>
      <c r="F50">
        <v>3</v>
      </c>
      <c r="G50">
        <v>600</v>
      </c>
      <c r="H50">
        <v>1800</v>
      </c>
    </row>
    <row r="51" spans="1:8" x14ac:dyDescent="0.25">
      <c r="A51" t="s">
        <v>419</v>
      </c>
      <c r="B51" t="s">
        <v>420</v>
      </c>
      <c r="C51" t="s">
        <v>35</v>
      </c>
      <c r="D51" t="s">
        <v>21</v>
      </c>
      <c r="E51" t="s">
        <v>22</v>
      </c>
      <c r="F51">
        <v>1</v>
      </c>
      <c r="G51">
        <v>1000</v>
      </c>
      <c r="H51">
        <v>1000</v>
      </c>
    </row>
    <row r="52" spans="1:8" x14ac:dyDescent="0.25">
      <c r="A52" t="s">
        <v>427</v>
      </c>
      <c r="B52" t="s">
        <v>428</v>
      </c>
      <c r="C52" t="s">
        <v>20</v>
      </c>
      <c r="D52" t="s">
        <v>21</v>
      </c>
      <c r="E52" t="s">
        <v>22</v>
      </c>
      <c r="F52">
        <v>5</v>
      </c>
      <c r="G52">
        <v>50</v>
      </c>
      <c r="H52">
        <v>250</v>
      </c>
    </row>
    <row r="53" spans="1:8" x14ac:dyDescent="0.25">
      <c r="A53" t="s">
        <v>435</v>
      </c>
      <c r="B53" t="s">
        <v>436</v>
      </c>
      <c r="C53" t="s">
        <v>35</v>
      </c>
      <c r="D53" t="s">
        <v>21</v>
      </c>
      <c r="E53" t="s">
        <v>22</v>
      </c>
      <c r="F53">
        <v>4</v>
      </c>
      <c r="G53">
        <v>45</v>
      </c>
      <c r="H53">
        <v>180</v>
      </c>
    </row>
    <row r="54" spans="1:8" x14ac:dyDescent="0.25">
      <c r="A54" t="s">
        <v>443</v>
      </c>
      <c r="B54" t="s">
        <v>444</v>
      </c>
      <c r="C54" t="s">
        <v>20</v>
      </c>
      <c r="D54" t="s">
        <v>21</v>
      </c>
      <c r="E54" t="s">
        <v>22</v>
      </c>
      <c r="F54">
        <v>2</v>
      </c>
      <c r="G54">
        <v>500</v>
      </c>
      <c r="H54">
        <v>1000</v>
      </c>
    </row>
    <row r="55" spans="1:8" x14ac:dyDescent="0.25">
      <c r="A55" t="s">
        <v>451</v>
      </c>
      <c r="B55" t="s">
        <v>452</v>
      </c>
      <c r="C55" t="s">
        <v>35</v>
      </c>
      <c r="D55" t="s">
        <v>21</v>
      </c>
      <c r="E55" t="s">
        <v>22</v>
      </c>
      <c r="F55">
        <v>3</v>
      </c>
      <c r="G55">
        <v>600</v>
      </c>
      <c r="H55">
        <v>1800</v>
      </c>
    </row>
    <row r="56" spans="1:8" x14ac:dyDescent="0.25">
      <c r="A56" t="s">
        <v>459</v>
      </c>
      <c r="B56" t="s">
        <v>460</v>
      </c>
      <c r="C56" t="s">
        <v>20</v>
      </c>
      <c r="D56" t="s">
        <v>21</v>
      </c>
      <c r="E56" t="s">
        <v>22</v>
      </c>
      <c r="F56">
        <v>1</v>
      </c>
      <c r="G56">
        <v>1000</v>
      </c>
      <c r="H56">
        <v>1000</v>
      </c>
    </row>
    <row r="57" spans="1:8" x14ac:dyDescent="0.25">
      <c r="A57" t="s">
        <v>467</v>
      </c>
      <c r="B57" t="s">
        <v>468</v>
      </c>
      <c r="C57" t="s">
        <v>35</v>
      </c>
      <c r="D57" t="s">
        <v>21</v>
      </c>
      <c r="E57" t="s">
        <v>22</v>
      </c>
      <c r="F57">
        <v>5</v>
      </c>
      <c r="G57">
        <v>50</v>
      </c>
      <c r="H57">
        <v>250</v>
      </c>
    </row>
    <row r="58" spans="1:8" x14ac:dyDescent="0.25">
      <c r="A58" t="s">
        <v>475</v>
      </c>
      <c r="B58" t="s">
        <v>476</v>
      </c>
      <c r="C58" t="s">
        <v>20</v>
      </c>
      <c r="D58" t="s">
        <v>21</v>
      </c>
      <c r="E58" t="s">
        <v>22</v>
      </c>
      <c r="F58">
        <v>4</v>
      </c>
      <c r="G58">
        <v>45</v>
      </c>
      <c r="H58">
        <v>180</v>
      </c>
    </row>
    <row r="59" spans="1:8" x14ac:dyDescent="0.25">
      <c r="A59" t="s">
        <v>7</v>
      </c>
      <c r="B59" t="s">
        <v>8</v>
      </c>
      <c r="C59" t="s">
        <v>9</v>
      </c>
      <c r="D59" t="s">
        <v>10</v>
      </c>
      <c r="E59" t="s">
        <v>11</v>
      </c>
      <c r="F59">
        <v>2</v>
      </c>
      <c r="G59">
        <v>500</v>
      </c>
      <c r="H59">
        <v>1000</v>
      </c>
    </row>
    <row r="60" spans="1:8" x14ac:dyDescent="0.25">
      <c r="A60" t="s">
        <v>27</v>
      </c>
      <c r="B60" t="s">
        <v>28</v>
      </c>
      <c r="C60" t="s">
        <v>29</v>
      </c>
      <c r="D60" t="s">
        <v>10</v>
      </c>
      <c r="E60" t="s">
        <v>11</v>
      </c>
      <c r="F60">
        <v>3</v>
      </c>
      <c r="G60">
        <v>600</v>
      </c>
      <c r="H60">
        <v>1800</v>
      </c>
    </row>
    <row r="61" spans="1:8" x14ac:dyDescent="0.25">
      <c r="A61" t="s">
        <v>39</v>
      </c>
      <c r="B61" t="s">
        <v>40</v>
      </c>
      <c r="C61" t="s">
        <v>9</v>
      </c>
      <c r="D61" t="s">
        <v>10</v>
      </c>
      <c r="E61" t="s">
        <v>11</v>
      </c>
      <c r="F61">
        <v>1</v>
      </c>
      <c r="G61">
        <v>1000</v>
      </c>
      <c r="H61">
        <v>1000</v>
      </c>
    </row>
    <row r="62" spans="1:8" x14ac:dyDescent="0.25">
      <c r="A62" t="s">
        <v>47</v>
      </c>
      <c r="B62" t="s">
        <v>48</v>
      </c>
      <c r="C62" t="s">
        <v>29</v>
      </c>
      <c r="D62" t="s">
        <v>10</v>
      </c>
      <c r="E62" t="s">
        <v>11</v>
      </c>
      <c r="F62">
        <v>5</v>
      </c>
      <c r="G62">
        <v>50</v>
      </c>
      <c r="H62">
        <v>250</v>
      </c>
    </row>
    <row r="63" spans="1:8" x14ac:dyDescent="0.25">
      <c r="A63" t="s">
        <v>55</v>
      </c>
      <c r="B63" t="s">
        <v>56</v>
      </c>
      <c r="C63" t="s">
        <v>9</v>
      </c>
      <c r="D63" t="s">
        <v>10</v>
      </c>
      <c r="E63" t="s">
        <v>11</v>
      </c>
      <c r="F63">
        <v>4</v>
      </c>
      <c r="G63">
        <v>45</v>
      </c>
      <c r="H63">
        <v>180</v>
      </c>
    </row>
    <row r="64" spans="1:8" x14ac:dyDescent="0.25">
      <c r="A64" t="s">
        <v>63</v>
      </c>
      <c r="B64" t="s">
        <v>64</v>
      </c>
      <c r="C64" t="s">
        <v>29</v>
      </c>
      <c r="D64" t="s">
        <v>10</v>
      </c>
      <c r="E64" t="s">
        <v>11</v>
      </c>
      <c r="F64">
        <v>2</v>
      </c>
      <c r="G64">
        <v>500</v>
      </c>
      <c r="H64">
        <v>1000</v>
      </c>
    </row>
    <row r="65" spans="1:8" x14ac:dyDescent="0.25">
      <c r="A65" t="s">
        <v>71</v>
      </c>
      <c r="B65" t="s">
        <v>72</v>
      </c>
      <c r="C65" t="s">
        <v>9</v>
      </c>
      <c r="D65" t="s">
        <v>10</v>
      </c>
      <c r="E65" t="s">
        <v>11</v>
      </c>
      <c r="F65">
        <v>3</v>
      </c>
      <c r="G65">
        <v>600</v>
      </c>
      <c r="H65">
        <v>1800</v>
      </c>
    </row>
    <row r="66" spans="1:8" x14ac:dyDescent="0.25">
      <c r="A66" t="s">
        <v>79</v>
      </c>
      <c r="B66" t="s">
        <v>80</v>
      </c>
      <c r="C66" t="s">
        <v>29</v>
      </c>
      <c r="D66" t="s">
        <v>10</v>
      </c>
      <c r="E66" t="s">
        <v>11</v>
      </c>
      <c r="F66">
        <v>1</v>
      </c>
      <c r="G66">
        <v>1000</v>
      </c>
      <c r="H66">
        <v>1000</v>
      </c>
    </row>
    <row r="67" spans="1:8" x14ac:dyDescent="0.25">
      <c r="A67" t="s">
        <v>87</v>
      </c>
      <c r="B67" t="s">
        <v>88</v>
      </c>
      <c r="C67" t="s">
        <v>9</v>
      </c>
      <c r="D67" t="s">
        <v>10</v>
      </c>
      <c r="E67" t="s">
        <v>11</v>
      </c>
      <c r="F67">
        <v>5</v>
      </c>
      <c r="G67">
        <v>50</v>
      </c>
      <c r="H67">
        <v>250</v>
      </c>
    </row>
    <row r="68" spans="1:8" x14ac:dyDescent="0.25">
      <c r="A68" t="s">
        <v>95</v>
      </c>
      <c r="B68" t="s">
        <v>96</v>
      </c>
      <c r="C68" t="s">
        <v>29</v>
      </c>
      <c r="D68" t="s">
        <v>10</v>
      </c>
      <c r="E68" t="s">
        <v>11</v>
      </c>
      <c r="F68">
        <v>4</v>
      </c>
      <c r="G68">
        <v>45</v>
      </c>
      <c r="H68">
        <v>180</v>
      </c>
    </row>
    <row r="69" spans="1:8" x14ac:dyDescent="0.25">
      <c r="A69" t="s">
        <v>103</v>
      </c>
      <c r="B69" t="s">
        <v>104</v>
      </c>
      <c r="C69" t="s">
        <v>9</v>
      </c>
      <c r="D69" t="s">
        <v>10</v>
      </c>
      <c r="E69" t="s">
        <v>11</v>
      </c>
      <c r="F69">
        <v>2</v>
      </c>
      <c r="G69">
        <v>500</v>
      </c>
      <c r="H69">
        <v>1000</v>
      </c>
    </row>
    <row r="70" spans="1:8" x14ac:dyDescent="0.25">
      <c r="A70" t="s">
        <v>111</v>
      </c>
      <c r="B70" t="s">
        <v>112</v>
      </c>
      <c r="C70" t="s">
        <v>29</v>
      </c>
      <c r="D70" t="s">
        <v>10</v>
      </c>
      <c r="E70" t="s">
        <v>11</v>
      </c>
      <c r="F70">
        <v>3</v>
      </c>
      <c r="G70">
        <v>600</v>
      </c>
      <c r="H70">
        <v>1800</v>
      </c>
    </row>
    <row r="71" spans="1:8" x14ac:dyDescent="0.25">
      <c r="A71" t="s">
        <v>119</v>
      </c>
      <c r="B71" t="s">
        <v>120</v>
      </c>
      <c r="C71" t="s">
        <v>9</v>
      </c>
      <c r="D71" t="s">
        <v>10</v>
      </c>
      <c r="E71" t="s">
        <v>11</v>
      </c>
      <c r="F71">
        <v>1</v>
      </c>
      <c r="G71">
        <v>1000</v>
      </c>
      <c r="H71">
        <v>1000</v>
      </c>
    </row>
    <row r="72" spans="1:8" x14ac:dyDescent="0.25">
      <c r="A72" t="s">
        <v>127</v>
      </c>
      <c r="B72" t="s">
        <v>128</v>
      </c>
      <c r="C72" t="s">
        <v>29</v>
      </c>
      <c r="D72" t="s">
        <v>10</v>
      </c>
      <c r="E72" t="s">
        <v>11</v>
      </c>
      <c r="F72">
        <v>5</v>
      </c>
      <c r="G72">
        <v>50</v>
      </c>
      <c r="H72">
        <v>250</v>
      </c>
    </row>
    <row r="73" spans="1:8" x14ac:dyDescent="0.25">
      <c r="A73" t="s">
        <v>135</v>
      </c>
      <c r="B73" t="s">
        <v>136</v>
      </c>
      <c r="C73" t="s">
        <v>9</v>
      </c>
      <c r="D73" t="s">
        <v>10</v>
      </c>
      <c r="E73" t="s">
        <v>11</v>
      </c>
      <c r="F73">
        <v>4</v>
      </c>
      <c r="G73">
        <v>45</v>
      </c>
      <c r="H73">
        <v>180</v>
      </c>
    </row>
    <row r="74" spans="1:8" x14ac:dyDescent="0.25">
      <c r="A74" t="s">
        <v>143</v>
      </c>
      <c r="B74" t="s">
        <v>144</v>
      </c>
      <c r="C74" t="s">
        <v>29</v>
      </c>
      <c r="D74" t="s">
        <v>10</v>
      </c>
      <c r="E74" t="s">
        <v>11</v>
      </c>
      <c r="F74">
        <v>2</v>
      </c>
      <c r="G74">
        <v>500</v>
      </c>
      <c r="H74">
        <v>1000</v>
      </c>
    </row>
    <row r="75" spans="1:8" x14ac:dyDescent="0.25">
      <c r="A75" t="s">
        <v>151</v>
      </c>
      <c r="B75" t="s">
        <v>152</v>
      </c>
      <c r="C75" t="s">
        <v>9</v>
      </c>
      <c r="D75" t="s">
        <v>10</v>
      </c>
      <c r="E75" t="s">
        <v>11</v>
      </c>
      <c r="F75">
        <v>3</v>
      </c>
      <c r="G75">
        <v>600</v>
      </c>
      <c r="H75">
        <v>1800</v>
      </c>
    </row>
    <row r="76" spans="1:8" x14ac:dyDescent="0.25">
      <c r="A76" t="s">
        <v>159</v>
      </c>
      <c r="B76" t="s">
        <v>160</v>
      </c>
      <c r="C76" t="s">
        <v>29</v>
      </c>
      <c r="D76" t="s">
        <v>10</v>
      </c>
      <c r="E76" t="s">
        <v>11</v>
      </c>
      <c r="F76">
        <v>1</v>
      </c>
      <c r="G76">
        <v>1000</v>
      </c>
      <c r="H76">
        <v>1000</v>
      </c>
    </row>
    <row r="77" spans="1:8" x14ac:dyDescent="0.25">
      <c r="A77" t="s">
        <v>167</v>
      </c>
      <c r="B77" t="s">
        <v>168</v>
      </c>
      <c r="C77" t="s">
        <v>9</v>
      </c>
      <c r="D77" t="s">
        <v>10</v>
      </c>
      <c r="E77" t="s">
        <v>11</v>
      </c>
      <c r="F77">
        <v>5</v>
      </c>
      <c r="G77">
        <v>50</v>
      </c>
      <c r="H77">
        <v>250</v>
      </c>
    </row>
    <row r="78" spans="1:8" x14ac:dyDescent="0.25">
      <c r="A78" t="s">
        <v>175</v>
      </c>
      <c r="B78" t="s">
        <v>176</v>
      </c>
      <c r="C78" t="s">
        <v>29</v>
      </c>
      <c r="D78" t="s">
        <v>10</v>
      </c>
      <c r="E78" t="s">
        <v>11</v>
      </c>
      <c r="F78">
        <v>4</v>
      </c>
      <c r="G78">
        <v>45</v>
      </c>
      <c r="H78">
        <v>180</v>
      </c>
    </row>
    <row r="79" spans="1:8" x14ac:dyDescent="0.25">
      <c r="A79" t="s">
        <v>183</v>
      </c>
      <c r="B79" t="s">
        <v>184</v>
      </c>
      <c r="C79" t="s">
        <v>9</v>
      </c>
      <c r="D79" t="s">
        <v>10</v>
      </c>
      <c r="E79" t="s">
        <v>11</v>
      </c>
      <c r="F79">
        <v>2</v>
      </c>
      <c r="G79">
        <v>500</v>
      </c>
      <c r="H79">
        <v>1000</v>
      </c>
    </row>
    <row r="80" spans="1:8" x14ac:dyDescent="0.25">
      <c r="A80" t="s">
        <v>191</v>
      </c>
      <c r="B80" t="s">
        <v>192</v>
      </c>
      <c r="C80" t="s">
        <v>29</v>
      </c>
      <c r="D80" t="s">
        <v>10</v>
      </c>
      <c r="E80" t="s">
        <v>11</v>
      </c>
      <c r="F80">
        <v>3</v>
      </c>
      <c r="G80">
        <v>600</v>
      </c>
      <c r="H80">
        <v>1800</v>
      </c>
    </row>
    <row r="81" spans="1:8" x14ac:dyDescent="0.25">
      <c r="A81" t="s">
        <v>199</v>
      </c>
      <c r="B81" t="s">
        <v>200</v>
      </c>
      <c r="C81" t="s">
        <v>9</v>
      </c>
      <c r="D81" t="s">
        <v>10</v>
      </c>
      <c r="E81" t="s">
        <v>11</v>
      </c>
      <c r="F81">
        <v>1</v>
      </c>
      <c r="G81">
        <v>1000</v>
      </c>
      <c r="H81">
        <v>1000</v>
      </c>
    </row>
    <row r="82" spans="1:8" x14ac:dyDescent="0.25">
      <c r="A82" t="s">
        <v>207</v>
      </c>
      <c r="B82" t="s">
        <v>208</v>
      </c>
      <c r="C82" t="s">
        <v>29</v>
      </c>
      <c r="D82" t="s">
        <v>10</v>
      </c>
      <c r="E82" t="s">
        <v>11</v>
      </c>
      <c r="F82">
        <v>5</v>
      </c>
      <c r="G82">
        <v>50</v>
      </c>
      <c r="H82">
        <v>250</v>
      </c>
    </row>
    <row r="83" spans="1:8" x14ac:dyDescent="0.25">
      <c r="A83" t="s">
        <v>215</v>
      </c>
      <c r="B83" t="s">
        <v>216</v>
      </c>
      <c r="C83" t="s">
        <v>9</v>
      </c>
      <c r="D83" t="s">
        <v>10</v>
      </c>
      <c r="E83" t="s">
        <v>11</v>
      </c>
      <c r="F83">
        <v>4</v>
      </c>
      <c r="G83">
        <v>45</v>
      </c>
      <c r="H83">
        <v>180</v>
      </c>
    </row>
    <row r="84" spans="1:8" x14ac:dyDescent="0.25">
      <c r="A84" t="s">
        <v>223</v>
      </c>
      <c r="B84" t="s">
        <v>224</v>
      </c>
      <c r="C84" t="s">
        <v>29</v>
      </c>
      <c r="D84" t="s">
        <v>10</v>
      </c>
      <c r="E84" t="s">
        <v>11</v>
      </c>
      <c r="F84">
        <v>2</v>
      </c>
      <c r="G84">
        <v>500</v>
      </c>
      <c r="H84">
        <v>1000</v>
      </c>
    </row>
    <row r="85" spans="1:8" x14ac:dyDescent="0.25">
      <c r="A85" t="s">
        <v>231</v>
      </c>
      <c r="B85" t="s">
        <v>232</v>
      </c>
      <c r="C85" t="s">
        <v>9</v>
      </c>
      <c r="D85" t="s">
        <v>10</v>
      </c>
      <c r="E85" t="s">
        <v>11</v>
      </c>
      <c r="F85">
        <v>3</v>
      </c>
      <c r="G85">
        <v>600</v>
      </c>
      <c r="H85">
        <v>1800</v>
      </c>
    </row>
    <row r="86" spans="1:8" x14ac:dyDescent="0.25">
      <c r="A86" t="s">
        <v>239</v>
      </c>
      <c r="B86" t="s">
        <v>240</v>
      </c>
      <c r="C86" t="s">
        <v>29</v>
      </c>
      <c r="D86" t="s">
        <v>10</v>
      </c>
      <c r="E86" t="s">
        <v>11</v>
      </c>
      <c r="F86">
        <v>1</v>
      </c>
      <c r="G86">
        <v>1000</v>
      </c>
      <c r="H86">
        <v>1000</v>
      </c>
    </row>
    <row r="87" spans="1:8" x14ac:dyDescent="0.25">
      <c r="A87" t="s">
        <v>247</v>
      </c>
      <c r="B87" t="s">
        <v>248</v>
      </c>
      <c r="C87" t="s">
        <v>9</v>
      </c>
      <c r="D87" t="s">
        <v>10</v>
      </c>
      <c r="E87" t="s">
        <v>11</v>
      </c>
      <c r="F87">
        <v>5</v>
      </c>
      <c r="G87">
        <v>50</v>
      </c>
      <c r="H87">
        <v>250</v>
      </c>
    </row>
    <row r="88" spans="1:8" x14ac:dyDescent="0.25">
      <c r="A88" t="s">
        <v>255</v>
      </c>
      <c r="B88" t="s">
        <v>256</v>
      </c>
      <c r="C88" t="s">
        <v>29</v>
      </c>
      <c r="D88" t="s">
        <v>10</v>
      </c>
      <c r="E88" t="s">
        <v>11</v>
      </c>
      <c r="F88">
        <v>4</v>
      </c>
      <c r="G88">
        <v>45</v>
      </c>
      <c r="H88">
        <v>180</v>
      </c>
    </row>
    <row r="89" spans="1:8" x14ac:dyDescent="0.25">
      <c r="A89" t="s">
        <v>263</v>
      </c>
      <c r="B89" t="s">
        <v>264</v>
      </c>
      <c r="C89" t="s">
        <v>9</v>
      </c>
      <c r="D89" t="s">
        <v>10</v>
      </c>
      <c r="E89" t="s">
        <v>11</v>
      </c>
      <c r="F89">
        <v>2</v>
      </c>
      <c r="G89">
        <v>500</v>
      </c>
      <c r="H89">
        <v>1000</v>
      </c>
    </row>
    <row r="90" spans="1:8" x14ac:dyDescent="0.25">
      <c r="A90" t="s">
        <v>271</v>
      </c>
      <c r="B90" t="s">
        <v>272</v>
      </c>
      <c r="C90" t="s">
        <v>29</v>
      </c>
      <c r="D90" t="s">
        <v>10</v>
      </c>
      <c r="E90" t="s">
        <v>11</v>
      </c>
      <c r="F90">
        <v>3</v>
      </c>
      <c r="G90">
        <v>600</v>
      </c>
      <c r="H90">
        <v>1800</v>
      </c>
    </row>
    <row r="91" spans="1:8" x14ac:dyDescent="0.25">
      <c r="A91" t="s">
        <v>279</v>
      </c>
      <c r="B91" t="s">
        <v>280</v>
      </c>
      <c r="C91" t="s">
        <v>9</v>
      </c>
      <c r="D91" t="s">
        <v>10</v>
      </c>
      <c r="E91" t="s">
        <v>11</v>
      </c>
      <c r="F91">
        <v>1</v>
      </c>
      <c r="G91">
        <v>1000</v>
      </c>
      <c r="H91">
        <v>1000</v>
      </c>
    </row>
    <row r="92" spans="1:8" x14ac:dyDescent="0.25">
      <c r="A92" t="s">
        <v>287</v>
      </c>
      <c r="B92" t="s">
        <v>288</v>
      </c>
      <c r="C92" t="s">
        <v>29</v>
      </c>
      <c r="D92" t="s">
        <v>10</v>
      </c>
      <c r="E92" t="s">
        <v>11</v>
      </c>
      <c r="F92">
        <v>5</v>
      </c>
      <c r="G92">
        <v>50</v>
      </c>
      <c r="H92">
        <v>250</v>
      </c>
    </row>
    <row r="93" spans="1:8" x14ac:dyDescent="0.25">
      <c r="A93" t="s">
        <v>295</v>
      </c>
      <c r="B93" t="s">
        <v>296</v>
      </c>
      <c r="C93" t="s">
        <v>9</v>
      </c>
      <c r="D93" t="s">
        <v>10</v>
      </c>
      <c r="E93" t="s">
        <v>11</v>
      </c>
      <c r="F93">
        <v>4</v>
      </c>
      <c r="G93">
        <v>45</v>
      </c>
      <c r="H93">
        <v>180</v>
      </c>
    </row>
    <row r="94" spans="1:8" x14ac:dyDescent="0.25">
      <c r="A94" t="s">
        <v>303</v>
      </c>
      <c r="B94" t="s">
        <v>304</v>
      </c>
      <c r="C94" t="s">
        <v>29</v>
      </c>
      <c r="D94" t="s">
        <v>10</v>
      </c>
      <c r="E94" t="s">
        <v>11</v>
      </c>
      <c r="F94">
        <v>2</v>
      </c>
      <c r="G94">
        <v>500</v>
      </c>
      <c r="H94">
        <v>1000</v>
      </c>
    </row>
    <row r="95" spans="1:8" x14ac:dyDescent="0.25">
      <c r="A95" t="s">
        <v>311</v>
      </c>
      <c r="B95" t="s">
        <v>312</v>
      </c>
      <c r="C95" t="s">
        <v>9</v>
      </c>
      <c r="D95" t="s">
        <v>10</v>
      </c>
      <c r="E95" t="s">
        <v>11</v>
      </c>
      <c r="F95">
        <v>3</v>
      </c>
      <c r="G95">
        <v>600</v>
      </c>
      <c r="H95">
        <v>1800</v>
      </c>
    </row>
    <row r="96" spans="1:8" x14ac:dyDescent="0.25">
      <c r="A96" t="s">
        <v>319</v>
      </c>
      <c r="B96" t="s">
        <v>320</v>
      </c>
      <c r="C96" t="s">
        <v>29</v>
      </c>
      <c r="D96" t="s">
        <v>10</v>
      </c>
      <c r="E96" t="s">
        <v>11</v>
      </c>
      <c r="F96">
        <v>1</v>
      </c>
      <c r="G96">
        <v>1000</v>
      </c>
      <c r="H96">
        <v>1000</v>
      </c>
    </row>
    <row r="97" spans="1:8" x14ac:dyDescent="0.25">
      <c r="A97" t="s">
        <v>327</v>
      </c>
      <c r="B97" t="s">
        <v>328</v>
      </c>
      <c r="C97" t="s">
        <v>9</v>
      </c>
      <c r="D97" t="s">
        <v>10</v>
      </c>
      <c r="E97" t="s">
        <v>11</v>
      </c>
      <c r="F97">
        <v>5</v>
      </c>
      <c r="G97">
        <v>50</v>
      </c>
      <c r="H97">
        <v>250</v>
      </c>
    </row>
    <row r="98" spans="1:8" x14ac:dyDescent="0.25">
      <c r="A98" t="s">
        <v>335</v>
      </c>
      <c r="B98" t="s">
        <v>336</v>
      </c>
      <c r="C98" t="s">
        <v>29</v>
      </c>
      <c r="D98" t="s">
        <v>10</v>
      </c>
      <c r="E98" t="s">
        <v>11</v>
      </c>
      <c r="F98">
        <v>4</v>
      </c>
      <c r="G98">
        <v>45</v>
      </c>
      <c r="H98">
        <v>180</v>
      </c>
    </row>
    <row r="99" spans="1:8" x14ac:dyDescent="0.25">
      <c r="A99" t="s">
        <v>343</v>
      </c>
      <c r="B99" t="s">
        <v>344</v>
      </c>
      <c r="C99" t="s">
        <v>9</v>
      </c>
      <c r="D99" t="s">
        <v>10</v>
      </c>
      <c r="E99" t="s">
        <v>11</v>
      </c>
      <c r="F99">
        <v>2</v>
      </c>
      <c r="G99">
        <v>500</v>
      </c>
      <c r="H99">
        <v>1000</v>
      </c>
    </row>
    <row r="100" spans="1:8" x14ac:dyDescent="0.25">
      <c r="A100" t="s">
        <v>351</v>
      </c>
      <c r="B100" t="s">
        <v>352</v>
      </c>
      <c r="C100" t="s">
        <v>29</v>
      </c>
      <c r="D100" t="s">
        <v>10</v>
      </c>
      <c r="E100" t="s">
        <v>11</v>
      </c>
      <c r="F100">
        <v>3</v>
      </c>
      <c r="G100">
        <v>600</v>
      </c>
      <c r="H100">
        <v>1800</v>
      </c>
    </row>
    <row r="101" spans="1:8" x14ac:dyDescent="0.25">
      <c r="A101" t="s">
        <v>359</v>
      </c>
      <c r="B101" t="s">
        <v>360</v>
      </c>
      <c r="C101" t="s">
        <v>9</v>
      </c>
      <c r="D101" t="s">
        <v>10</v>
      </c>
      <c r="E101" t="s">
        <v>11</v>
      </c>
      <c r="F101">
        <v>1</v>
      </c>
      <c r="G101">
        <v>1000</v>
      </c>
      <c r="H101">
        <v>1000</v>
      </c>
    </row>
    <row r="102" spans="1:8" x14ac:dyDescent="0.25">
      <c r="A102" t="s">
        <v>367</v>
      </c>
      <c r="B102" t="s">
        <v>368</v>
      </c>
      <c r="C102" t="s">
        <v>29</v>
      </c>
      <c r="D102" t="s">
        <v>10</v>
      </c>
      <c r="E102" t="s">
        <v>11</v>
      </c>
      <c r="F102">
        <v>5</v>
      </c>
      <c r="G102">
        <v>50</v>
      </c>
      <c r="H102">
        <v>250</v>
      </c>
    </row>
    <row r="103" spans="1:8" x14ac:dyDescent="0.25">
      <c r="A103" t="s">
        <v>375</v>
      </c>
      <c r="B103" t="s">
        <v>376</v>
      </c>
      <c r="C103" t="s">
        <v>9</v>
      </c>
      <c r="D103" t="s">
        <v>10</v>
      </c>
      <c r="E103" t="s">
        <v>11</v>
      </c>
      <c r="F103">
        <v>4</v>
      </c>
      <c r="G103">
        <v>45</v>
      </c>
      <c r="H103">
        <v>180</v>
      </c>
    </row>
    <row r="104" spans="1:8" x14ac:dyDescent="0.25">
      <c r="A104" t="s">
        <v>383</v>
      </c>
      <c r="B104" t="s">
        <v>384</v>
      </c>
      <c r="C104" t="s">
        <v>29</v>
      </c>
      <c r="D104" t="s">
        <v>10</v>
      </c>
      <c r="E104" t="s">
        <v>11</v>
      </c>
      <c r="F104">
        <v>2</v>
      </c>
      <c r="G104">
        <v>500</v>
      </c>
      <c r="H104">
        <v>1000</v>
      </c>
    </row>
    <row r="105" spans="1:8" x14ac:dyDescent="0.25">
      <c r="A105" t="s">
        <v>391</v>
      </c>
      <c r="B105" t="s">
        <v>392</v>
      </c>
      <c r="C105" t="s">
        <v>9</v>
      </c>
      <c r="D105" t="s">
        <v>10</v>
      </c>
      <c r="E105" t="s">
        <v>11</v>
      </c>
      <c r="F105">
        <v>3</v>
      </c>
      <c r="G105">
        <v>600</v>
      </c>
      <c r="H105">
        <v>1800</v>
      </c>
    </row>
    <row r="106" spans="1:8" x14ac:dyDescent="0.25">
      <c r="A106" t="s">
        <v>399</v>
      </c>
      <c r="B106" t="s">
        <v>400</v>
      </c>
      <c r="C106" t="s">
        <v>29</v>
      </c>
      <c r="D106" t="s">
        <v>10</v>
      </c>
      <c r="E106" t="s">
        <v>11</v>
      </c>
      <c r="F106">
        <v>1</v>
      </c>
      <c r="G106">
        <v>1000</v>
      </c>
      <c r="H106">
        <v>1000</v>
      </c>
    </row>
    <row r="107" spans="1:8" x14ac:dyDescent="0.25">
      <c r="A107" t="s">
        <v>407</v>
      </c>
      <c r="B107" t="s">
        <v>408</v>
      </c>
      <c r="C107" t="s">
        <v>9</v>
      </c>
      <c r="D107" t="s">
        <v>10</v>
      </c>
      <c r="E107" t="s">
        <v>11</v>
      </c>
      <c r="F107">
        <v>5</v>
      </c>
      <c r="G107">
        <v>50</v>
      </c>
      <c r="H107">
        <v>250</v>
      </c>
    </row>
    <row r="108" spans="1:8" x14ac:dyDescent="0.25">
      <c r="A108" t="s">
        <v>415</v>
      </c>
      <c r="B108" t="s">
        <v>416</v>
      </c>
      <c r="C108" t="s">
        <v>29</v>
      </c>
      <c r="D108" t="s">
        <v>10</v>
      </c>
      <c r="E108" t="s">
        <v>11</v>
      </c>
      <c r="F108">
        <v>4</v>
      </c>
      <c r="G108">
        <v>45</v>
      </c>
      <c r="H108">
        <v>180</v>
      </c>
    </row>
    <row r="109" spans="1:8" x14ac:dyDescent="0.25">
      <c r="A109" t="s">
        <v>423</v>
      </c>
      <c r="B109" t="s">
        <v>424</v>
      </c>
      <c r="C109" t="s">
        <v>9</v>
      </c>
      <c r="D109" t="s">
        <v>10</v>
      </c>
      <c r="E109" t="s">
        <v>11</v>
      </c>
      <c r="F109">
        <v>2</v>
      </c>
      <c r="G109">
        <v>500</v>
      </c>
      <c r="H109">
        <v>1000</v>
      </c>
    </row>
    <row r="110" spans="1:8" x14ac:dyDescent="0.25">
      <c r="A110" t="s">
        <v>431</v>
      </c>
      <c r="B110" t="s">
        <v>432</v>
      </c>
      <c r="C110" t="s">
        <v>29</v>
      </c>
      <c r="D110" t="s">
        <v>10</v>
      </c>
      <c r="E110" t="s">
        <v>11</v>
      </c>
      <c r="F110">
        <v>3</v>
      </c>
      <c r="G110">
        <v>600</v>
      </c>
      <c r="H110">
        <v>1800</v>
      </c>
    </row>
    <row r="111" spans="1:8" x14ac:dyDescent="0.25">
      <c r="A111" t="s">
        <v>439</v>
      </c>
      <c r="B111" t="s">
        <v>440</v>
      </c>
      <c r="C111" t="s">
        <v>9</v>
      </c>
      <c r="D111" t="s">
        <v>10</v>
      </c>
      <c r="E111" t="s">
        <v>11</v>
      </c>
      <c r="F111">
        <v>1</v>
      </c>
      <c r="G111">
        <v>1000</v>
      </c>
      <c r="H111">
        <v>1000</v>
      </c>
    </row>
    <row r="112" spans="1:8" x14ac:dyDescent="0.25">
      <c r="A112" t="s">
        <v>447</v>
      </c>
      <c r="B112" t="s">
        <v>448</v>
      </c>
      <c r="C112" t="s">
        <v>29</v>
      </c>
      <c r="D112" t="s">
        <v>10</v>
      </c>
      <c r="E112" t="s">
        <v>11</v>
      </c>
      <c r="F112">
        <v>5</v>
      </c>
      <c r="G112">
        <v>50</v>
      </c>
      <c r="H112">
        <v>250</v>
      </c>
    </row>
    <row r="113" spans="1:8" x14ac:dyDescent="0.25">
      <c r="A113" t="s">
        <v>455</v>
      </c>
      <c r="B113" t="s">
        <v>456</v>
      </c>
      <c r="C113" t="s">
        <v>9</v>
      </c>
      <c r="D113" t="s">
        <v>10</v>
      </c>
      <c r="E113" t="s">
        <v>11</v>
      </c>
      <c r="F113">
        <v>4</v>
      </c>
      <c r="G113">
        <v>45</v>
      </c>
      <c r="H113">
        <v>180</v>
      </c>
    </row>
    <row r="114" spans="1:8" x14ac:dyDescent="0.25">
      <c r="A114" t="s">
        <v>463</v>
      </c>
      <c r="B114" t="s">
        <v>464</v>
      </c>
      <c r="C114" t="s">
        <v>29</v>
      </c>
      <c r="D114" t="s">
        <v>10</v>
      </c>
      <c r="E114" t="s">
        <v>11</v>
      </c>
      <c r="F114">
        <v>2</v>
      </c>
      <c r="G114">
        <v>500</v>
      </c>
      <c r="H114">
        <v>1000</v>
      </c>
    </row>
    <row r="115" spans="1:8" x14ac:dyDescent="0.25">
      <c r="A115" t="s">
        <v>471</v>
      </c>
      <c r="B115" t="s">
        <v>472</v>
      </c>
      <c r="C115" t="s">
        <v>9</v>
      </c>
      <c r="D115" t="s">
        <v>10</v>
      </c>
      <c r="E115" t="s">
        <v>11</v>
      </c>
      <c r="F115">
        <v>3</v>
      </c>
      <c r="G115">
        <v>600</v>
      </c>
      <c r="H115">
        <v>1800</v>
      </c>
    </row>
    <row r="116" spans="1:8" x14ac:dyDescent="0.25">
      <c r="A116" t="s">
        <v>479</v>
      </c>
      <c r="B116" t="s">
        <v>480</v>
      </c>
      <c r="C116" t="s">
        <v>29</v>
      </c>
      <c r="D116" t="s">
        <v>10</v>
      </c>
      <c r="E116" t="s">
        <v>11</v>
      </c>
      <c r="F116">
        <v>1</v>
      </c>
      <c r="G116">
        <v>1000</v>
      </c>
      <c r="H116">
        <v>1000</v>
      </c>
    </row>
    <row r="117" spans="1:8" x14ac:dyDescent="0.25">
      <c r="A117" t="s">
        <v>23</v>
      </c>
      <c r="B117" t="s">
        <v>24</v>
      </c>
      <c r="C117" t="s">
        <v>25</v>
      </c>
      <c r="D117" t="s">
        <v>26</v>
      </c>
      <c r="E117" t="s">
        <v>17</v>
      </c>
      <c r="F117">
        <v>10</v>
      </c>
      <c r="G117">
        <v>20</v>
      </c>
      <c r="H117">
        <v>200</v>
      </c>
    </row>
    <row r="118" spans="1:8" x14ac:dyDescent="0.25">
      <c r="A118" t="s">
        <v>36</v>
      </c>
      <c r="B118" t="s">
        <v>37</v>
      </c>
      <c r="C118" t="s">
        <v>38</v>
      </c>
      <c r="D118" t="s">
        <v>26</v>
      </c>
      <c r="E118" t="s">
        <v>17</v>
      </c>
      <c r="F118">
        <v>8</v>
      </c>
      <c r="G118">
        <v>25</v>
      </c>
      <c r="H118">
        <v>200</v>
      </c>
    </row>
    <row r="119" spans="1:8" x14ac:dyDescent="0.25">
      <c r="A119" t="s">
        <v>45</v>
      </c>
      <c r="B119" t="s">
        <v>46</v>
      </c>
      <c r="C119" t="s">
        <v>25</v>
      </c>
      <c r="D119" t="s">
        <v>26</v>
      </c>
      <c r="E119" t="s">
        <v>17</v>
      </c>
      <c r="F119">
        <v>1</v>
      </c>
      <c r="G119">
        <v>800</v>
      </c>
      <c r="H119">
        <v>800</v>
      </c>
    </row>
    <row r="120" spans="1:8" x14ac:dyDescent="0.25">
      <c r="A120" t="s">
        <v>53</v>
      </c>
      <c r="B120" t="s">
        <v>54</v>
      </c>
      <c r="C120" t="s">
        <v>38</v>
      </c>
      <c r="D120" t="s">
        <v>26</v>
      </c>
      <c r="E120" t="s">
        <v>17</v>
      </c>
      <c r="F120">
        <v>2</v>
      </c>
      <c r="G120">
        <v>700</v>
      </c>
      <c r="H120">
        <v>1400</v>
      </c>
    </row>
    <row r="121" spans="1:8" x14ac:dyDescent="0.25">
      <c r="A121" t="s">
        <v>61</v>
      </c>
      <c r="B121" t="s">
        <v>62</v>
      </c>
      <c r="C121" t="s">
        <v>25</v>
      </c>
      <c r="D121" t="s">
        <v>26</v>
      </c>
      <c r="E121" t="s">
        <v>17</v>
      </c>
      <c r="F121">
        <v>2</v>
      </c>
      <c r="G121">
        <v>750</v>
      </c>
      <c r="H121">
        <v>1500</v>
      </c>
    </row>
    <row r="122" spans="1:8" x14ac:dyDescent="0.25">
      <c r="A122" t="s">
        <v>69</v>
      </c>
      <c r="B122" t="s">
        <v>70</v>
      </c>
      <c r="C122" t="s">
        <v>38</v>
      </c>
      <c r="D122" t="s">
        <v>26</v>
      </c>
      <c r="E122" t="s">
        <v>17</v>
      </c>
      <c r="F122">
        <v>10</v>
      </c>
      <c r="G122">
        <v>20</v>
      </c>
      <c r="H122">
        <v>200</v>
      </c>
    </row>
    <row r="123" spans="1:8" x14ac:dyDescent="0.25">
      <c r="A123" t="s">
        <v>77</v>
      </c>
      <c r="B123" t="s">
        <v>78</v>
      </c>
      <c r="C123" t="s">
        <v>25</v>
      </c>
      <c r="D123" t="s">
        <v>26</v>
      </c>
      <c r="E123" t="s">
        <v>17</v>
      </c>
      <c r="F123">
        <v>8</v>
      </c>
      <c r="G123">
        <v>25</v>
      </c>
      <c r="H123">
        <v>200</v>
      </c>
    </row>
    <row r="124" spans="1:8" x14ac:dyDescent="0.25">
      <c r="A124" t="s">
        <v>85</v>
      </c>
      <c r="B124" t="s">
        <v>86</v>
      </c>
      <c r="C124" t="s">
        <v>38</v>
      </c>
      <c r="D124" t="s">
        <v>26</v>
      </c>
      <c r="E124" t="s">
        <v>17</v>
      </c>
      <c r="F124">
        <v>1</v>
      </c>
      <c r="G124">
        <v>800</v>
      </c>
      <c r="H124">
        <v>800</v>
      </c>
    </row>
    <row r="125" spans="1:8" x14ac:dyDescent="0.25">
      <c r="A125" t="s">
        <v>93</v>
      </c>
      <c r="B125" t="s">
        <v>94</v>
      </c>
      <c r="C125" t="s">
        <v>25</v>
      </c>
      <c r="D125" t="s">
        <v>26</v>
      </c>
      <c r="E125" t="s">
        <v>17</v>
      </c>
      <c r="F125">
        <v>2</v>
      </c>
      <c r="G125">
        <v>700</v>
      </c>
      <c r="H125">
        <v>1400</v>
      </c>
    </row>
    <row r="126" spans="1:8" x14ac:dyDescent="0.25">
      <c r="A126" t="s">
        <v>101</v>
      </c>
      <c r="B126" t="s">
        <v>102</v>
      </c>
      <c r="C126" t="s">
        <v>38</v>
      </c>
      <c r="D126" t="s">
        <v>26</v>
      </c>
      <c r="E126" t="s">
        <v>17</v>
      </c>
      <c r="F126">
        <v>2</v>
      </c>
      <c r="G126">
        <v>750</v>
      </c>
      <c r="H126">
        <v>1500</v>
      </c>
    </row>
    <row r="127" spans="1:8" x14ac:dyDescent="0.25">
      <c r="A127" t="s">
        <v>109</v>
      </c>
      <c r="B127" t="s">
        <v>110</v>
      </c>
      <c r="C127" t="s">
        <v>25</v>
      </c>
      <c r="D127" t="s">
        <v>26</v>
      </c>
      <c r="E127" t="s">
        <v>17</v>
      </c>
      <c r="F127">
        <v>10</v>
      </c>
      <c r="G127">
        <v>20</v>
      </c>
      <c r="H127">
        <v>200</v>
      </c>
    </row>
    <row r="128" spans="1:8" x14ac:dyDescent="0.25">
      <c r="A128" t="s">
        <v>117</v>
      </c>
      <c r="B128" t="s">
        <v>118</v>
      </c>
      <c r="C128" t="s">
        <v>38</v>
      </c>
      <c r="D128" t="s">
        <v>26</v>
      </c>
      <c r="E128" t="s">
        <v>17</v>
      </c>
      <c r="F128">
        <v>8</v>
      </c>
      <c r="G128">
        <v>25</v>
      </c>
      <c r="H128">
        <v>200</v>
      </c>
    </row>
    <row r="129" spans="1:8" x14ac:dyDescent="0.25">
      <c r="A129" t="s">
        <v>125</v>
      </c>
      <c r="B129" t="s">
        <v>126</v>
      </c>
      <c r="C129" t="s">
        <v>25</v>
      </c>
      <c r="D129" t="s">
        <v>26</v>
      </c>
      <c r="E129" t="s">
        <v>17</v>
      </c>
      <c r="F129">
        <v>1</v>
      </c>
      <c r="G129">
        <v>800</v>
      </c>
      <c r="H129">
        <v>800</v>
      </c>
    </row>
    <row r="130" spans="1:8" x14ac:dyDescent="0.25">
      <c r="A130" t="s">
        <v>133</v>
      </c>
      <c r="B130" t="s">
        <v>134</v>
      </c>
      <c r="C130" t="s">
        <v>38</v>
      </c>
      <c r="D130" t="s">
        <v>26</v>
      </c>
      <c r="E130" t="s">
        <v>17</v>
      </c>
      <c r="F130">
        <v>2</v>
      </c>
      <c r="G130">
        <v>700</v>
      </c>
      <c r="H130">
        <v>1400</v>
      </c>
    </row>
    <row r="131" spans="1:8" x14ac:dyDescent="0.25">
      <c r="A131" t="s">
        <v>141</v>
      </c>
      <c r="B131" t="s">
        <v>142</v>
      </c>
      <c r="C131" t="s">
        <v>25</v>
      </c>
      <c r="D131" t="s">
        <v>26</v>
      </c>
      <c r="E131" t="s">
        <v>17</v>
      </c>
      <c r="F131">
        <v>2</v>
      </c>
      <c r="G131">
        <v>750</v>
      </c>
      <c r="H131">
        <v>1500</v>
      </c>
    </row>
    <row r="132" spans="1:8" x14ac:dyDescent="0.25">
      <c r="A132" t="s">
        <v>149</v>
      </c>
      <c r="B132" t="s">
        <v>150</v>
      </c>
      <c r="C132" t="s">
        <v>38</v>
      </c>
      <c r="D132" t="s">
        <v>26</v>
      </c>
      <c r="E132" t="s">
        <v>17</v>
      </c>
      <c r="F132">
        <v>10</v>
      </c>
      <c r="G132">
        <v>20</v>
      </c>
      <c r="H132">
        <v>200</v>
      </c>
    </row>
    <row r="133" spans="1:8" x14ac:dyDescent="0.25">
      <c r="A133" t="s">
        <v>157</v>
      </c>
      <c r="B133" t="s">
        <v>158</v>
      </c>
      <c r="C133" t="s">
        <v>25</v>
      </c>
      <c r="D133" t="s">
        <v>26</v>
      </c>
      <c r="E133" t="s">
        <v>17</v>
      </c>
      <c r="F133">
        <v>8</v>
      </c>
      <c r="G133">
        <v>25</v>
      </c>
      <c r="H133">
        <v>200</v>
      </c>
    </row>
    <row r="134" spans="1:8" x14ac:dyDescent="0.25">
      <c r="A134" t="s">
        <v>165</v>
      </c>
      <c r="B134" t="s">
        <v>166</v>
      </c>
      <c r="C134" t="s">
        <v>38</v>
      </c>
      <c r="D134" t="s">
        <v>26</v>
      </c>
      <c r="E134" t="s">
        <v>17</v>
      </c>
      <c r="F134">
        <v>1</v>
      </c>
      <c r="G134">
        <v>800</v>
      </c>
      <c r="H134">
        <v>800</v>
      </c>
    </row>
    <row r="135" spans="1:8" x14ac:dyDescent="0.25">
      <c r="A135" t="s">
        <v>173</v>
      </c>
      <c r="B135" t="s">
        <v>174</v>
      </c>
      <c r="C135" t="s">
        <v>25</v>
      </c>
      <c r="D135" t="s">
        <v>26</v>
      </c>
      <c r="E135" t="s">
        <v>17</v>
      </c>
      <c r="F135">
        <v>2</v>
      </c>
      <c r="G135">
        <v>700</v>
      </c>
      <c r="H135">
        <v>1400</v>
      </c>
    </row>
    <row r="136" spans="1:8" x14ac:dyDescent="0.25">
      <c r="A136" t="s">
        <v>181</v>
      </c>
      <c r="B136" t="s">
        <v>182</v>
      </c>
      <c r="C136" t="s">
        <v>38</v>
      </c>
      <c r="D136" t="s">
        <v>26</v>
      </c>
      <c r="E136" t="s">
        <v>17</v>
      </c>
      <c r="F136">
        <v>2</v>
      </c>
      <c r="G136">
        <v>750</v>
      </c>
      <c r="H136">
        <v>1500</v>
      </c>
    </row>
    <row r="137" spans="1:8" x14ac:dyDescent="0.25">
      <c r="A137" t="s">
        <v>189</v>
      </c>
      <c r="B137" t="s">
        <v>190</v>
      </c>
      <c r="C137" t="s">
        <v>25</v>
      </c>
      <c r="D137" t="s">
        <v>26</v>
      </c>
      <c r="E137" t="s">
        <v>17</v>
      </c>
      <c r="F137">
        <v>10</v>
      </c>
      <c r="G137">
        <v>20</v>
      </c>
      <c r="H137">
        <v>200</v>
      </c>
    </row>
    <row r="138" spans="1:8" x14ac:dyDescent="0.25">
      <c r="A138" t="s">
        <v>197</v>
      </c>
      <c r="B138" t="s">
        <v>198</v>
      </c>
      <c r="C138" t="s">
        <v>38</v>
      </c>
      <c r="D138" t="s">
        <v>26</v>
      </c>
      <c r="E138" t="s">
        <v>17</v>
      </c>
      <c r="F138">
        <v>8</v>
      </c>
      <c r="G138">
        <v>25</v>
      </c>
      <c r="H138">
        <v>200</v>
      </c>
    </row>
    <row r="139" spans="1:8" x14ac:dyDescent="0.25">
      <c r="A139" t="s">
        <v>205</v>
      </c>
      <c r="B139" t="s">
        <v>206</v>
      </c>
      <c r="C139" t="s">
        <v>25</v>
      </c>
      <c r="D139" t="s">
        <v>26</v>
      </c>
      <c r="E139" t="s">
        <v>17</v>
      </c>
      <c r="F139">
        <v>1</v>
      </c>
      <c r="G139">
        <v>800</v>
      </c>
      <c r="H139">
        <v>800</v>
      </c>
    </row>
    <row r="140" spans="1:8" x14ac:dyDescent="0.25">
      <c r="A140" t="s">
        <v>213</v>
      </c>
      <c r="B140" t="s">
        <v>214</v>
      </c>
      <c r="C140" t="s">
        <v>38</v>
      </c>
      <c r="D140" t="s">
        <v>26</v>
      </c>
      <c r="E140" t="s">
        <v>17</v>
      </c>
      <c r="F140">
        <v>2</v>
      </c>
      <c r="G140">
        <v>700</v>
      </c>
      <c r="H140">
        <v>1400</v>
      </c>
    </row>
    <row r="141" spans="1:8" x14ac:dyDescent="0.25">
      <c r="A141" t="s">
        <v>221</v>
      </c>
      <c r="B141" t="s">
        <v>222</v>
      </c>
      <c r="C141" t="s">
        <v>25</v>
      </c>
      <c r="D141" t="s">
        <v>26</v>
      </c>
      <c r="E141" t="s">
        <v>17</v>
      </c>
      <c r="F141">
        <v>2</v>
      </c>
      <c r="G141">
        <v>750</v>
      </c>
      <c r="H141">
        <v>1500</v>
      </c>
    </row>
    <row r="142" spans="1:8" x14ac:dyDescent="0.25">
      <c r="A142" t="s">
        <v>229</v>
      </c>
      <c r="B142" t="s">
        <v>230</v>
      </c>
      <c r="C142" t="s">
        <v>38</v>
      </c>
      <c r="D142" t="s">
        <v>26</v>
      </c>
      <c r="E142" t="s">
        <v>17</v>
      </c>
      <c r="F142">
        <v>10</v>
      </c>
      <c r="G142">
        <v>20</v>
      </c>
      <c r="H142">
        <v>200</v>
      </c>
    </row>
    <row r="143" spans="1:8" x14ac:dyDescent="0.25">
      <c r="A143" t="s">
        <v>237</v>
      </c>
      <c r="B143" t="s">
        <v>238</v>
      </c>
      <c r="C143" t="s">
        <v>25</v>
      </c>
      <c r="D143" t="s">
        <v>26</v>
      </c>
      <c r="E143" t="s">
        <v>17</v>
      </c>
      <c r="F143">
        <v>8</v>
      </c>
      <c r="G143">
        <v>25</v>
      </c>
      <c r="H143">
        <v>200</v>
      </c>
    </row>
    <row r="144" spans="1:8" x14ac:dyDescent="0.25">
      <c r="A144" t="s">
        <v>245</v>
      </c>
      <c r="B144" t="s">
        <v>246</v>
      </c>
      <c r="C144" t="s">
        <v>38</v>
      </c>
      <c r="D144" t="s">
        <v>26</v>
      </c>
      <c r="E144" t="s">
        <v>17</v>
      </c>
      <c r="F144">
        <v>1</v>
      </c>
      <c r="G144">
        <v>800</v>
      </c>
      <c r="H144">
        <v>800</v>
      </c>
    </row>
    <row r="145" spans="1:8" x14ac:dyDescent="0.25">
      <c r="A145" t="s">
        <v>253</v>
      </c>
      <c r="B145" t="s">
        <v>254</v>
      </c>
      <c r="C145" t="s">
        <v>25</v>
      </c>
      <c r="D145" t="s">
        <v>26</v>
      </c>
      <c r="E145" t="s">
        <v>17</v>
      </c>
      <c r="F145">
        <v>2</v>
      </c>
      <c r="G145">
        <v>700</v>
      </c>
      <c r="H145">
        <v>1400</v>
      </c>
    </row>
    <row r="146" spans="1:8" x14ac:dyDescent="0.25">
      <c r="A146" t="s">
        <v>261</v>
      </c>
      <c r="B146" t="s">
        <v>262</v>
      </c>
      <c r="C146" t="s">
        <v>38</v>
      </c>
      <c r="D146" t="s">
        <v>26</v>
      </c>
      <c r="E146" t="s">
        <v>17</v>
      </c>
      <c r="F146">
        <v>2</v>
      </c>
      <c r="G146">
        <v>750</v>
      </c>
      <c r="H146">
        <v>1500</v>
      </c>
    </row>
    <row r="147" spans="1:8" x14ac:dyDescent="0.25">
      <c r="A147" t="s">
        <v>269</v>
      </c>
      <c r="B147" t="s">
        <v>270</v>
      </c>
      <c r="C147" t="s">
        <v>25</v>
      </c>
      <c r="D147" t="s">
        <v>26</v>
      </c>
      <c r="E147" t="s">
        <v>17</v>
      </c>
      <c r="F147">
        <v>10</v>
      </c>
      <c r="G147">
        <v>20</v>
      </c>
      <c r="H147">
        <v>200</v>
      </c>
    </row>
    <row r="148" spans="1:8" x14ac:dyDescent="0.25">
      <c r="A148" t="s">
        <v>277</v>
      </c>
      <c r="B148" t="s">
        <v>278</v>
      </c>
      <c r="C148" t="s">
        <v>38</v>
      </c>
      <c r="D148" t="s">
        <v>26</v>
      </c>
      <c r="E148" t="s">
        <v>17</v>
      </c>
      <c r="F148">
        <v>8</v>
      </c>
      <c r="G148">
        <v>25</v>
      </c>
      <c r="H148">
        <v>200</v>
      </c>
    </row>
    <row r="149" spans="1:8" x14ac:dyDescent="0.25">
      <c r="A149" t="s">
        <v>285</v>
      </c>
      <c r="B149" t="s">
        <v>286</v>
      </c>
      <c r="C149" t="s">
        <v>25</v>
      </c>
      <c r="D149" t="s">
        <v>26</v>
      </c>
      <c r="E149" t="s">
        <v>17</v>
      </c>
      <c r="F149">
        <v>1</v>
      </c>
      <c r="G149">
        <v>800</v>
      </c>
      <c r="H149">
        <v>800</v>
      </c>
    </row>
    <row r="150" spans="1:8" x14ac:dyDescent="0.25">
      <c r="A150" t="s">
        <v>293</v>
      </c>
      <c r="B150" t="s">
        <v>294</v>
      </c>
      <c r="C150" t="s">
        <v>38</v>
      </c>
      <c r="D150" t="s">
        <v>26</v>
      </c>
      <c r="E150" t="s">
        <v>17</v>
      </c>
      <c r="F150">
        <v>2</v>
      </c>
      <c r="G150">
        <v>700</v>
      </c>
      <c r="H150">
        <v>1400</v>
      </c>
    </row>
    <row r="151" spans="1:8" x14ac:dyDescent="0.25">
      <c r="A151" t="s">
        <v>301</v>
      </c>
      <c r="B151" t="s">
        <v>302</v>
      </c>
      <c r="C151" t="s">
        <v>25</v>
      </c>
      <c r="D151" t="s">
        <v>26</v>
      </c>
      <c r="E151" t="s">
        <v>17</v>
      </c>
      <c r="F151">
        <v>2</v>
      </c>
      <c r="G151">
        <v>750</v>
      </c>
      <c r="H151">
        <v>1500</v>
      </c>
    </row>
    <row r="152" spans="1:8" x14ac:dyDescent="0.25">
      <c r="A152" t="s">
        <v>309</v>
      </c>
      <c r="B152" t="s">
        <v>310</v>
      </c>
      <c r="C152" t="s">
        <v>38</v>
      </c>
      <c r="D152" t="s">
        <v>26</v>
      </c>
      <c r="E152" t="s">
        <v>17</v>
      </c>
      <c r="F152">
        <v>10</v>
      </c>
      <c r="G152">
        <v>20</v>
      </c>
      <c r="H152">
        <v>200</v>
      </c>
    </row>
    <row r="153" spans="1:8" x14ac:dyDescent="0.25">
      <c r="A153" t="s">
        <v>317</v>
      </c>
      <c r="B153" t="s">
        <v>318</v>
      </c>
      <c r="C153" t="s">
        <v>25</v>
      </c>
      <c r="D153" t="s">
        <v>26</v>
      </c>
      <c r="E153" t="s">
        <v>17</v>
      </c>
      <c r="F153">
        <v>8</v>
      </c>
      <c r="G153">
        <v>25</v>
      </c>
      <c r="H153">
        <v>200</v>
      </c>
    </row>
    <row r="154" spans="1:8" x14ac:dyDescent="0.25">
      <c r="A154" t="s">
        <v>325</v>
      </c>
      <c r="B154" t="s">
        <v>326</v>
      </c>
      <c r="C154" t="s">
        <v>38</v>
      </c>
      <c r="D154" t="s">
        <v>26</v>
      </c>
      <c r="E154" t="s">
        <v>17</v>
      </c>
      <c r="F154">
        <v>1</v>
      </c>
      <c r="G154">
        <v>800</v>
      </c>
      <c r="H154">
        <v>800</v>
      </c>
    </row>
    <row r="155" spans="1:8" x14ac:dyDescent="0.25">
      <c r="A155" t="s">
        <v>333</v>
      </c>
      <c r="B155" t="s">
        <v>334</v>
      </c>
      <c r="C155" t="s">
        <v>25</v>
      </c>
      <c r="D155" t="s">
        <v>26</v>
      </c>
      <c r="E155" t="s">
        <v>17</v>
      </c>
      <c r="F155">
        <v>2</v>
      </c>
      <c r="G155">
        <v>700</v>
      </c>
      <c r="H155">
        <v>1400</v>
      </c>
    </row>
    <row r="156" spans="1:8" x14ac:dyDescent="0.25">
      <c r="A156" t="s">
        <v>341</v>
      </c>
      <c r="B156" t="s">
        <v>342</v>
      </c>
      <c r="C156" t="s">
        <v>38</v>
      </c>
      <c r="D156" t="s">
        <v>26</v>
      </c>
      <c r="E156" t="s">
        <v>17</v>
      </c>
      <c r="F156">
        <v>2</v>
      </c>
      <c r="G156">
        <v>750</v>
      </c>
      <c r="H156">
        <v>1500</v>
      </c>
    </row>
    <row r="157" spans="1:8" x14ac:dyDescent="0.25">
      <c r="A157" t="s">
        <v>349</v>
      </c>
      <c r="B157" t="s">
        <v>350</v>
      </c>
      <c r="C157" t="s">
        <v>25</v>
      </c>
      <c r="D157" t="s">
        <v>26</v>
      </c>
      <c r="E157" t="s">
        <v>17</v>
      </c>
      <c r="F157">
        <v>10</v>
      </c>
      <c r="G157">
        <v>20</v>
      </c>
      <c r="H157">
        <v>200</v>
      </c>
    </row>
    <row r="158" spans="1:8" x14ac:dyDescent="0.25">
      <c r="A158" t="s">
        <v>357</v>
      </c>
      <c r="B158" t="s">
        <v>358</v>
      </c>
      <c r="C158" t="s">
        <v>38</v>
      </c>
      <c r="D158" t="s">
        <v>26</v>
      </c>
      <c r="E158" t="s">
        <v>17</v>
      </c>
      <c r="F158">
        <v>8</v>
      </c>
      <c r="G158">
        <v>25</v>
      </c>
      <c r="H158">
        <v>200</v>
      </c>
    </row>
    <row r="159" spans="1:8" x14ac:dyDescent="0.25">
      <c r="A159" t="s">
        <v>365</v>
      </c>
      <c r="B159" t="s">
        <v>366</v>
      </c>
      <c r="C159" t="s">
        <v>25</v>
      </c>
      <c r="D159" t="s">
        <v>26</v>
      </c>
      <c r="E159" t="s">
        <v>17</v>
      </c>
      <c r="F159">
        <v>1</v>
      </c>
      <c r="G159">
        <v>800</v>
      </c>
      <c r="H159">
        <v>800</v>
      </c>
    </row>
    <row r="160" spans="1:8" x14ac:dyDescent="0.25">
      <c r="A160" t="s">
        <v>373</v>
      </c>
      <c r="B160" t="s">
        <v>374</v>
      </c>
      <c r="C160" t="s">
        <v>38</v>
      </c>
      <c r="D160" t="s">
        <v>26</v>
      </c>
      <c r="E160" t="s">
        <v>17</v>
      </c>
      <c r="F160">
        <v>2</v>
      </c>
      <c r="G160">
        <v>700</v>
      </c>
      <c r="H160">
        <v>1400</v>
      </c>
    </row>
    <row r="161" spans="1:8" x14ac:dyDescent="0.25">
      <c r="A161" t="s">
        <v>381</v>
      </c>
      <c r="B161" t="s">
        <v>382</v>
      </c>
      <c r="C161" t="s">
        <v>25</v>
      </c>
      <c r="D161" t="s">
        <v>26</v>
      </c>
      <c r="E161" t="s">
        <v>17</v>
      </c>
      <c r="F161">
        <v>2</v>
      </c>
      <c r="G161">
        <v>750</v>
      </c>
      <c r="H161">
        <v>1500</v>
      </c>
    </row>
    <row r="162" spans="1:8" x14ac:dyDescent="0.25">
      <c r="A162" t="s">
        <v>389</v>
      </c>
      <c r="B162" t="s">
        <v>390</v>
      </c>
      <c r="C162" t="s">
        <v>38</v>
      </c>
      <c r="D162" t="s">
        <v>26</v>
      </c>
      <c r="E162" t="s">
        <v>17</v>
      </c>
      <c r="F162">
        <v>10</v>
      </c>
      <c r="G162">
        <v>20</v>
      </c>
      <c r="H162">
        <v>200</v>
      </c>
    </row>
    <row r="163" spans="1:8" x14ac:dyDescent="0.25">
      <c r="A163" t="s">
        <v>397</v>
      </c>
      <c r="B163" t="s">
        <v>398</v>
      </c>
      <c r="C163" t="s">
        <v>25</v>
      </c>
      <c r="D163" t="s">
        <v>26</v>
      </c>
      <c r="E163" t="s">
        <v>17</v>
      </c>
      <c r="F163">
        <v>8</v>
      </c>
      <c r="G163">
        <v>25</v>
      </c>
      <c r="H163">
        <v>200</v>
      </c>
    </row>
    <row r="164" spans="1:8" x14ac:dyDescent="0.25">
      <c r="A164" t="s">
        <v>405</v>
      </c>
      <c r="B164" t="s">
        <v>406</v>
      </c>
      <c r="C164" t="s">
        <v>38</v>
      </c>
      <c r="D164" t="s">
        <v>26</v>
      </c>
      <c r="E164" t="s">
        <v>17</v>
      </c>
      <c r="F164">
        <v>1</v>
      </c>
      <c r="G164">
        <v>800</v>
      </c>
      <c r="H164">
        <v>800</v>
      </c>
    </row>
    <row r="165" spans="1:8" x14ac:dyDescent="0.25">
      <c r="A165" t="s">
        <v>413</v>
      </c>
      <c r="B165" t="s">
        <v>414</v>
      </c>
      <c r="C165" t="s">
        <v>25</v>
      </c>
      <c r="D165" t="s">
        <v>26</v>
      </c>
      <c r="E165" t="s">
        <v>17</v>
      </c>
      <c r="F165">
        <v>2</v>
      </c>
      <c r="G165">
        <v>700</v>
      </c>
      <c r="H165">
        <v>1400</v>
      </c>
    </row>
    <row r="166" spans="1:8" x14ac:dyDescent="0.25">
      <c r="A166" t="s">
        <v>421</v>
      </c>
      <c r="B166" t="s">
        <v>422</v>
      </c>
      <c r="C166" t="s">
        <v>38</v>
      </c>
      <c r="D166" t="s">
        <v>26</v>
      </c>
      <c r="E166" t="s">
        <v>17</v>
      </c>
      <c r="F166">
        <v>2</v>
      </c>
      <c r="G166">
        <v>750</v>
      </c>
      <c r="H166">
        <v>1500</v>
      </c>
    </row>
    <row r="167" spans="1:8" x14ac:dyDescent="0.25">
      <c r="A167" t="s">
        <v>429</v>
      </c>
      <c r="B167" t="s">
        <v>430</v>
      </c>
      <c r="C167" t="s">
        <v>25</v>
      </c>
      <c r="D167" t="s">
        <v>26</v>
      </c>
      <c r="E167" t="s">
        <v>17</v>
      </c>
      <c r="F167">
        <v>10</v>
      </c>
      <c r="G167">
        <v>20</v>
      </c>
      <c r="H167">
        <v>200</v>
      </c>
    </row>
    <row r="168" spans="1:8" x14ac:dyDescent="0.25">
      <c r="A168" t="s">
        <v>437</v>
      </c>
      <c r="B168" t="s">
        <v>438</v>
      </c>
      <c r="C168" t="s">
        <v>38</v>
      </c>
      <c r="D168" t="s">
        <v>26</v>
      </c>
      <c r="E168" t="s">
        <v>17</v>
      </c>
      <c r="F168">
        <v>8</v>
      </c>
      <c r="G168">
        <v>25</v>
      </c>
      <c r="H168">
        <v>200</v>
      </c>
    </row>
    <row r="169" spans="1:8" x14ac:dyDescent="0.25">
      <c r="A169" t="s">
        <v>445</v>
      </c>
      <c r="B169" t="s">
        <v>446</v>
      </c>
      <c r="C169" t="s">
        <v>25</v>
      </c>
      <c r="D169" t="s">
        <v>26</v>
      </c>
      <c r="E169" t="s">
        <v>17</v>
      </c>
      <c r="F169">
        <v>1</v>
      </c>
      <c r="G169">
        <v>800</v>
      </c>
      <c r="H169">
        <v>800</v>
      </c>
    </row>
    <row r="170" spans="1:8" x14ac:dyDescent="0.25">
      <c r="A170" t="s">
        <v>453</v>
      </c>
      <c r="B170" t="s">
        <v>454</v>
      </c>
      <c r="C170" t="s">
        <v>38</v>
      </c>
      <c r="D170" t="s">
        <v>26</v>
      </c>
      <c r="E170" t="s">
        <v>17</v>
      </c>
      <c r="F170">
        <v>2</v>
      </c>
      <c r="G170">
        <v>700</v>
      </c>
      <c r="H170">
        <v>1400</v>
      </c>
    </row>
    <row r="171" spans="1:8" x14ac:dyDescent="0.25">
      <c r="A171" t="s">
        <v>461</v>
      </c>
      <c r="B171" t="s">
        <v>462</v>
      </c>
      <c r="C171" t="s">
        <v>25</v>
      </c>
      <c r="D171" t="s">
        <v>26</v>
      </c>
      <c r="E171" t="s">
        <v>17</v>
      </c>
      <c r="F171">
        <v>2</v>
      </c>
      <c r="G171">
        <v>750</v>
      </c>
      <c r="H171">
        <v>1500</v>
      </c>
    </row>
    <row r="172" spans="1:8" x14ac:dyDescent="0.25">
      <c r="A172" t="s">
        <v>469</v>
      </c>
      <c r="B172" t="s">
        <v>470</v>
      </c>
      <c r="C172" t="s">
        <v>38</v>
      </c>
      <c r="D172" t="s">
        <v>26</v>
      </c>
      <c r="E172" t="s">
        <v>17</v>
      </c>
      <c r="F172">
        <v>10</v>
      </c>
      <c r="G172">
        <v>20</v>
      </c>
      <c r="H172">
        <v>200</v>
      </c>
    </row>
    <row r="173" spans="1:8" x14ac:dyDescent="0.25">
      <c r="A173" t="s">
        <v>477</v>
      </c>
      <c r="B173" t="s">
        <v>478</v>
      </c>
      <c r="C173" t="s">
        <v>25</v>
      </c>
      <c r="D173" t="s">
        <v>26</v>
      </c>
      <c r="E173" t="s">
        <v>17</v>
      </c>
      <c r="F173">
        <v>8</v>
      </c>
      <c r="G173">
        <v>25</v>
      </c>
      <c r="H173">
        <v>200</v>
      </c>
    </row>
    <row r="174" spans="1:8" x14ac:dyDescent="0.25">
      <c r="A174" t="s">
        <v>12</v>
      </c>
      <c r="B174" t="s">
        <v>13</v>
      </c>
      <c r="C174" t="s">
        <v>14</v>
      </c>
      <c r="D174" t="s">
        <v>15</v>
      </c>
      <c r="E174" t="s">
        <v>16</v>
      </c>
      <c r="F174">
        <v>1</v>
      </c>
      <c r="G174">
        <v>800</v>
      </c>
      <c r="H174">
        <v>800</v>
      </c>
    </row>
    <row r="175" spans="1:8" x14ac:dyDescent="0.25">
      <c r="A175" t="s">
        <v>30</v>
      </c>
      <c r="B175" t="s">
        <v>31</v>
      </c>
      <c r="C175" t="s">
        <v>32</v>
      </c>
      <c r="D175" t="s">
        <v>15</v>
      </c>
      <c r="E175" t="s">
        <v>16</v>
      </c>
      <c r="F175">
        <v>2</v>
      </c>
      <c r="G175">
        <v>700</v>
      </c>
      <c r="H175">
        <v>1400</v>
      </c>
    </row>
    <row r="176" spans="1:8" x14ac:dyDescent="0.25">
      <c r="A176" t="s">
        <v>41</v>
      </c>
      <c r="B176" t="s">
        <v>42</v>
      </c>
      <c r="C176" t="s">
        <v>14</v>
      </c>
      <c r="D176" t="s">
        <v>15</v>
      </c>
      <c r="E176" t="s">
        <v>16</v>
      </c>
      <c r="F176">
        <v>2</v>
      </c>
      <c r="G176">
        <v>750</v>
      </c>
      <c r="H176">
        <v>1500</v>
      </c>
    </row>
    <row r="177" spans="1:8" x14ac:dyDescent="0.25">
      <c r="A177" t="s">
        <v>49</v>
      </c>
      <c r="B177" t="s">
        <v>50</v>
      </c>
      <c r="C177" t="s">
        <v>32</v>
      </c>
      <c r="D177" t="s">
        <v>15</v>
      </c>
      <c r="E177" t="s">
        <v>16</v>
      </c>
      <c r="F177">
        <v>10</v>
      </c>
      <c r="G177">
        <v>20</v>
      </c>
      <c r="H177">
        <v>200</v>
      </c>
    </row>
    <row r="178" spans="1:8" x14ac:dyDescent="0.25">
      <c r="A178" t="s">
        <v>57</v>
      </c>
      <c r="B178" t="s">
        <v>58</v>
      </c>
      <c r="C178" t="s">
        <v>14</v>
      </c>
      <c r="D178" t="s">
        <v>15</v>
      </c>
      <c r="E178" t="s">
        <v>16</v>
      </c>
      <c r="F178">
        <v>8</v>
      </c>
      <c r="G178">
        <v>25</v>
      </c>
      <c r="H178">
        <v>200</v>
      </c>
    </row>
    <row r="179" spans="1:8" x14ac:dyDescent="0.25">
      <c r="A179" t="s">
        <v>65</v>
      </c>
      <c r="B179" t="s">
        <v>66</v>
      </c>
      <c r="C179" t="s">
        <v>32</v>
      </c>
      <c r="D179" t="s">
        <v>15</v>
      </c>
      <c r="E179" t="s">
        <v>16</v>
      </c>
      <c r="F179">
        <v>1</v>
      </c>
      <c r="G179">
        <v>800</v>
      </c>
      <c r="H179">
        <v>800</v>
      </c>
    </row>
    <row r="180" spans="1:8" x14ac:dyDescent="0.25">
      <c r="A180" t="s">
        <v>73</v>
      </c>
      <c r="B180" t="s">
        <v>74</v>
      </c>
      <c r="C180" t="s">
        <v>14</v>
      </c>
      <c r="D180" t="s">
        <v>15</v>
      </c>
      <c r="E180" t="s">
        <v>16</v>
      </c>
      <c r="F180">
        <v>2</v>
      </c>
      <c r="G180">
        <v>700</v>
      </c>
      <c r="H180">
        <v>1400</v>
      </c>
    </row>
    <row r="181" spans="1:8" x14ac:dyDescent="0.25">
      <c r="A181" t="s">
        <v>81</v>
      </c>
      <c r="B181" t="s">
        <v>82</v>
      </c>
      <c r="C181" t="s">
        <v>32</v>
      </c>
      <c r="D181" t="s">
        <v>15</v>
      </c>
      <c r="E181" t="s">
        <v>16</v>
      </c>
      <c r="F181">
        <v>2</v>
      </c>
      <c r="G181">
        <v>750</v>
      </c>
      <c r="H181">
        <v>1500</v>
      </c>
    </row>
    <row r="182" spans="1:8" x14ac:dyDescent="0.25">
      <c r="A182" t="s">
        <v>89</v>
      </c>
      <c r="B182" t="s">
        <v>90</v>
      </c>
      <c r="C182" t="s">
        <v>14</v>
      </c>
      <c r="D182" t="s">
        <v>15</v>
      </c>
      <c r="E182" t="s">
        <v>16</v>
      </c>
      <c r="F182">
        <v>10</v>
      </c>
      <c r="G182">
        <v>20</v>
      </c>
      <c r="H182">
        <v>200</v>
      </c>
    </row>
    <row r="183" spans="1:8" x14ac:dyDescent="0.25">
      <c r="A183" t="s">
        <v>97</v>
      </c>
      <c r="B183" t="s">
        <v>98</v>
      </c>
      <c r="C183" t="s">
        <v>32</v>
      </c>
      <c r="D183" t="s">
        <v>15</v>
      </c>
      <c r="E183" t="s">
        <v>16</v>
      </c>
      <c r="F183">
        <v>8</v>
      </c>
      <c r="G183">
        <v>25</v>
      </c>
      <c r="H183">
        <v>200</v>
      </c>
    </row>
    <row r="184" spans="1:8" x14ac:dyDescent="0.25">
      <c r="A184" t="s">
        <v>105</v>
      </c>
      <c r="B184" t="s">
        <v>106</v>
      </c>
      <c r="C184" t="s">
        <v>14</v>
      </c>
      <c r="D184" t="s">
        <v>15</v>
      </c>
      <c r="E184" t="s">
        <v>16</v>
      </c>
      <c r="F184">
        <v>1</v>
      </c>
      <c r="G184">
        <v>800</v>
      </c>
      <c r="H184">
        <v>800</v>
      </c>
    </row>
    <row r="185" spans="1:8" x14ac:dyDescent="0.25">
      <c r="A185" t="s">
        <v>113</v>
      </c>
      <c r="B185" t="s">
        <v>114</v>
      </c>
      <c r="C185" t="s">
        <v>32</v>
      </c>
      <c r="D185" t="s">
        <v>15</v>
      </c>
      <c r="E185" t="s">
        <v>16</v>
      </c>
      <c r="F185">
        <v>2</v>
      </c>
      <c r="G185">
        <v>700</v>
      </c>
      <c r="H185">
        <v>1400</v>
      </c>
    </row>
    <row r="186" spans="1:8" x14ac:dyDescent="0.25">
      <c r="A186" t="s">
        <v>121</v>
      </c>
      <c r="B186" t="s">
        <v>122</v>
      </c>
      <c r="C186" t="s">
        <v>14</v>
      </c>
      <c r="D186" t="s">
        <v>15</v>
      </c>
      <c r="E186" t="s">
        <v>16</v>
      </c>
      <c r="F186">
        <v>2</v>
      </c>
      <c r="G186">
        <v>750</v>
      </c>
      <c r="H186">
        <v>1500</v>
      </c>
    </row>
    <row r="187" spans="1:8" x14ac:dyDescent="0.25">
      <c r="A187" t="s">
        <v>129</v>
      </c>
      <c r="B187" t="s">
        <v>130</v>
      </c>
      <c r="C187" t="s">
        <v>32</v>
      </c>
      <c r="D187" t="s">
        <v>15</v>
      </c>
      <c r="E187" t="s">
        <v>16</v>
      </c>
      <c r="F187">
        <v>10</v>
      </c>
      <c r="G187">
        <v>20</v>
      </c>
      <c r="H187">
        <v>200</v>
      </c>
    </row>
    <row r="188" spans="1:8" x14ac:dyDescent="0.25">
      <c r="A188" t="s">
        <v>137</v>
      </c>
      <c r="B188" t="s">
        <v>138</v>
      </c>
      <c r="C188" t="s">
        <v>14</v>
      </c>
      <c r="D188" t="s">
        <v>15</v>
      </c>
      <c r="E188" t="s">
        <v>16</v>
      </c>
      <c r="F188">
        <v>8</v>
      </c>
      <c r="G188">
        <v>25</v>
      </c>
      <c r="H188">
        <v>200</v>
      </c>
    </row>
    <row r="189" spans="1:8" x14ac:dyDescent="0.25">
      <c r="A189" t="s">
        <v>145</v>
      </c>
      <c r="B189" t="s">
        <v>146</v>
      </c>
      <c r="C189" t="s">
        <v>32</v>
      </c>
      <c r="D189" t="s">
        <v>15</v>
      </c>
      <c r="E189" t="s">
        <v>16</v>
      </c>
      <c r="F189">
        <v>1</v>
      </c>
      <c r="G189">
        <v>800</v>
      </c>
      <c r="H189">
        <v>800</v>
      </c>
    </row>
    <row r="190" spans="1:8" x14ac:dyDescent="0.25">
      <c r="A190" t="s">
        <v>153</v>
      </c>
      <c r="B190" t="s">
        <v>154</v>
      </c>
      <c r="C190" t="s">
        <v>14</v>
      </c>
      <c r="D190" t="s">
        <v>15</v>
      </c>
      <c r="E190" t="s">
        <v>16</v>
      </c>
      <c r="F190">
        <v>2</v>
      </c>
      <c r="G190">
        <v>700</v>
      </c>
      <c r="H190">
        <v>1400</v>
      </c>
    </row>
    <row r="191" spans="1:8" x14ac:dyDescent="0.25">
      <c r="A191" t="s">
        <v>161</v>
      </c>
      <c r="B191" t="s">
        <v>162</v>
      </c>
      <c r="C191" t="s">
        <v>32</v>
      </c>
      <c r="D191" t="s">
        <v>15</v>
      </c>
      <c r="E191" t="s">
        <v>16</v>
      </c>
      <c r="F191">
        <v>2</v>
      </c>
      <c r="G191">
        <v>750</v>
      </c>
      <c r="H191">
        <v>1500</v>
      </c>
    </row>
    <row r="192" spans="1:8" x14ac:dyDescent="0.25">
      <c r="A192" t="s">
        <v>169</v>
      </c>
      <c r="B192" t="s">
        <v>170</v>
      </c>
      <c r="C192" t="s">
        <v>14</v>
      </c>
      <c r="D192" t="s">
        <v>15</v>
      </c>
      <c r="E192" t="s">
        <v>16</v>
      </c>
      <c r="F192">
        <v>10</v>
      </c>
      <c r="G192">
        <v>20</v>
      </c>
      <c r="H192">
        <v>200</v>
      </c>
    </row>
    <row r="193" spans="1:8" x14ac:dyDescent="0.25">
      <c r="A193" t="s">
        <v>177</v>
      </c>
      <c r="B193" t="s">
        <v>178</v>
      </c>
      <c r="C193" t="s">
        <v>32</v>
      </c>
      <c r="D193" t="s">
        <v>15</v>
      </c>
      <c r="E193" t="s">
        <v>16</v>
      </c>
      <c r="F193">
        <v>8</v>
      </c>
      <c r="G193">
        <v>25</v>
      </c>
      <c r="H193">
        <v>200</v>
      </c>
    </row>
    <row r="194" spans="1:8" x14ac:dyDescent="0.25">
      <c r="A194" t="s">
        <v>185</v>
      </c>
      <c r="B194" t="s">
        <v>186</v>
      </c>
      <c r="C194" t="s">
        <v>14</v>
      </c>
      <c r="D194" t="s">
        <v>15</v>
      </c>
      <c r="E194" t="s">
        <v>16</v>
      </c>
      <c r="F194">
        <v>1</v>
      </c>
      <c r="G194">
        <v>800</v>
      </c>
      <c r="H194">
        <v>800</v>
      </c>
    </row>
    <row r="195" spans="1:8" x14ac:dyDescent="0.25">
      <c r="A195" t="s">
        <v>193</v>
      </c>
      <c r="B195" t="s">
        <v>194</v>
      </c>
      <c r="C195" t="s">
        <v>32</v>
      </c>
      <c r="D195" t="s">
        <v>15</v>
      </c>
      <c r="E195" t="s">
        <v>16</v>
      </c>
      <c r="F195">
        <v>2</v>
      </c>
      <c r="G195">
        <v>700</v>
      </c>
      <c r="H195">
        <v>1400</v>
      </c>
    </row>
    <row r="196" spans="1:8" x14ac:dyDescent="0.25">
      <c r="A196" t="s">
        <v>201</v>
      </c>
      <c r="B196" t="s">
        <v>202</v>
      </c>
      <c r="C196" t="s">
        <v>14</v>
      </c>
      <c r="D196" t="s">
        <v>15</v>
      </c>
      <c r="E196" t="s">
        <v>16</v>
      </c>
      <c r="F196">
        <v>2</v>
      </c>
      <c r="G196">
        <v>750</v>
      </c>
      <c r="H196">
        <v>1500</v>
      </c>
    </row>
    <row r="197" spans="1:8" x14ac:dyDescent="0.25">
      <c r="A197" t="s">
        <v>209</v>
      </c>
      <c r="B197" t="s">
        <v>210</v>
      </c>
      <c r="C197" t="s">
        <v>32</v>
      </c>
      <c r="D197" t="s">
        <v>15</v>
      </c>
      <c r="E197" t="s">
        <v>16</v>
      </c>
      <c r="F197">
        <v>10</v>
      </c>
      <c r="G197">
        <v>20</v>
      </c>
      <c r="H197">
        <v>200</v>
      </c>
    </row>
    <row r="198" spans="1:8" x14ac:dyDescent="0.25">
      <c r="A198" t="s">
        <v>217</v>
      </c>
      <c r="B198" t="s">
        <v>218</v>
      </c>
      <c r="C198" t="s">
        <v>14</v>
      </c>
      <c r="D198" t="s">
        <v>15</v>
      </c>
      <c r="E198" t="s">
        <v>16</v>
      </c>
      <c r="F198">
        <v>8</v>
      </c>
      <c r="G198">
        <v>25</v>
      </c>
      <c r="H198">
        <v>200</v>
      </c>
    </row>
    <row r="199" spans="1:8" x14ac:dyDescent="0.25">
      <c r="A199" t="s">
        <v>225</v>
      </c>
      <c r="B199" t="s">
        <v>226</v>
      </c>
      <c r="C199" t="s">
        <v>32</v>
      </c>
      <c r="D199" t="s">
        <v>15</v>
      </c>
      <c r="E199" t="s">
        <v>16</v>
      </c>
      <c r="F199">
        <v>1</v>
      </c>
      <c r="G199">
        <v>800</v>
      </c>
      <c r="H199">
        <v>800</v>
      </c>
    </row>
    <row r="200" spans="1:8" x14ac:dyDescent="0.25">
      <c r="A200" t="s">
        <v>233</v>
      </c>
      <c r="B200" t="s">
        <v>234</v>
      </c>
      <c r="C200" t="s">
        <v>14</v>
      </c>
      <c r="D200" t="s">
        <v>15</v>
      </c>
      <c r="E200" t="s">
        <v>16</v>
      </c>
      <c r="F200">
        <v>2</v>
      </c>
      <c r="G200">
        <v>700</v>
      </c>
      <c r="H200">
        <v>1400</v>
      </c>
    </row>
    <row r="201" spans="1:8" x14ac:dyDescent="0.25">
      <c r="A201" t="s">
        <v>241</v>
      </c>
      <c r="B201" t="s">
        <v>242</v>
      </c>
      <c r="C201" t="s">
        <v>32</v>
      </c>
      <c r="D201" t="s">
        <v>15</v>
      </c>
      <c r="E201" t="s">
        <v>16</v>
      </c>
      <c r="F201">
        <v>2</v>
      </c>
      <c r="G201">
        <v>750</v>
      </c>
      <c r="H201">
        <v>1500</v>
      </c>
    </row>
    <row r="202" spans="1:8" x14ac:dyDescent="0.25">
      <c r="A202" t="s">
        <v>249</v>
      </c>
      <c r="B202" t="s">
        <v>250</v>
      </c>
      <c r="C202" t="s">
        <v>14</v>
      </c>
      <c r="D202" t="s">
        <v>15</v>
      </c>
      <c r="E202" t="s">
        <v>16</v>
      </c>
      <c r="F202">
        <v>10</v>
      </c>
      <c r="G202">
        <v>20</v>
      </c>
      <c r="H202">
        <v>200</v>
      </c>
    </row>
    <row r="203" spans="1:8" x14ac:dyDescent="0.25">
      <c r="A203" t="s">
        <v>257</v>
      </c>
      <c r="B203" t="s">
        <v>258</v>
      </c>
      <c r="C203" t="s">
        <v>32</v>
      </c>
      <c r="D203" t="s">
        <v>15</v>
      </c>
      <c r="E203" t="s">
        <v>16</v>
      </c>
      <c r="F203">
        <v>8</v>
      </c>
      <c r="G203">
        <v>25</v>
      </c>
      <c r="H203">
        <v>200</v>
      </c>
    </row>
    <row r="204" spans="1:8" x14ac:dyDescent="0.25">
      <c r="A204" t="s">
        <v>265</v>
      </c>
      <c r="B204" t="s">
        <v>266</v>
      </c>
      <c r="C204" t="s">
        <v>14</v>
      </c>
      <c r="D204" t="s">
        <v>15</v>
      </c>
      <c r="E204" t="s">
        <v>16</v>
      </c>
      <c r="F204">
        <v>1</v>
      </c>
      <c r="G204">
        <v>800</v>
      </c>
      <c r="H204">
        <v>800</v>
      </c>
    </row>
    <row r="205" spans="1:8" x14ac:dyDescent="0.25">
      <c r="A205" t="s">
        <v>273</v>
      </c>
      <c r="B205" t="s">
        <v>274</v>
      </c>
      <c r="C205" t="s">
        <v>32</v>
      </c>
      <c r="D205" t="s">
        <v>15</v>
      </c>
      <c r="E205" t="s">
        <v>16</v>
      </c>
      <c r="F205">
        <v>2</v>
      </c>
      <c r="G205">
        <v>700</v>
      </c>
      <c r="H205">
        <v>1400</v>
      </c>
    </row>
    <row r="206" spans="1:8" x14ac:dyDescent="0.25">
      <c r="A206" t="s">
        <v>281</v>
      </c>
      <c r="B206" t="s">
        <v>282</v>
      </c>
      <c r="C206" t="s">
        <v>14</v>
      </c>
      <c r="D206" t="s">
        <v>15</v>
      </c>
      <c r="E206" t="s">
        <v>16</v>
      </c>
      <c r="F206">
        <v>2</v>
      </c>
      <c r="G206">
        <v>750</v>
      </c>
      <c r="H206">
        <v>1500</v>
      </c>
    </row>
    <row r="207" spans="1:8" x14ac:dyDescent="0.25">
      <c r="A207" t="s">
        <v>289</v>
      </c>
      <c r="B207" t="s">
        <v>290</v>
      </c>
      <c r="C207" t="s">
        <v>32</v>
      </c>
      <c r="D207" t="s">
        <v>15</v>
      </c>
      <c r="E207" t="s">
        <v>16</v>
      </c>
      <c r="F207">
        <v>10</v>
      </c>
      <c r="G207">
        <v>20</v>
      </c>
      <c r="H207">
        <v>200</v>
      </c>
    </row>
    <row r="208" spans="1:8" x14ac:dyDescent="0.25">
      <c r="A208" t="s">
        <v>297</v>
      </c>
      <c r="B208" t="s">
        <v>298</v>
      </c>
      <c r="C208" t="s">
        <v>14</v>
      </c>
      <c r="D208" t="s">
        <v>15</v>
      </c>
      <c r="E208" t="s">
        <v>16</v>
      </c>
      <c r="F208">
        <v>8</v>
      </c>
      <c r="G208">
        <v>25</v>
      </c>
      <c r="H208">
        <v>200</v>
      </c>
    </row>
    <row r="209" spans="1:8" x14ac:dyDescent="0.25">
      <c r="A209" t="s">
        <v>305</v>
      </c>
      <c r="B209" t="s">
        <v>306</v>
      </c>
      <c r="C209" t="s">
        <v>32</v>
      </c>
      <c r="D209" t="s">
        <v>15</v>
      </c>
      <c r="E209" t="s">
        <v>16</v>
      </c>
      <c r="F209">
        <v>1</v>
      </c>
      <c r="G209">
        <v>800</v>
      </c>
      <c r="H209">
        <v>800</v>
      </c>
    </row>
    <row r="210" spans="1:8" x14ac:dyDescent="0.25">
      <c r="A210" t="s">
        <v>313</v>
      </c>
      <c r="B210" t="s">
        <v>314</v>
      </c>
      <c r="C210" t="s">
        <v>14</v>
      </c>
      <c r="D210" t="s">
        <v>15</v>
      </c>
      <c r="E210" t="s">
        <v>16</v>
      </c>
      <c r="F210">
        <v>2</v>
      </c>
      <c r="G210">
        <v>700</v>
      </c>
      <c r="H210">
        <v>1400</v>
      </c>
    </row>
    <row r="211" spans="1:8" x14ac:dyDescent="0.25">
      <c r="A211" t="s">
        <v>321</v>
      </c>
      <c r="B211" t="s">
        <v>322</v>
      </c>
      <c r="C211" t="s">
        <v>32</v>
      </c>
      <c r="D211" t="s">
        <v>15</v>
      </c>
      <c r="E211" t="s">
        <v>16</v>
      </c>
      <c r="F211">
        <v>2</v>
      </c>
      <c r="G211">
        <v>750</v>
      </c>
      <c r="H211">
        <v>1500</v>
      </c>
    </row>
    <row r="212" spans="1:8" x14ac:dyDescent="0.25">
      <c r="A212" t="s">
        <v>329</v>
      </c>
      <c r="B212" t="s">
        <v>330</v>
      </c>
      <c r="C212" t="s">
        <v>14</v>
      </c>
      <c r="D212" t="s">
        <v>15</v>
      </c>
      <c r="E212" t="s">
        <v>16</v>
      </c>
      <c r="F212">
        <v>10</v>
      </c>
      <c r="G212">
        <v>20</v>
      </c>
      <c r="H212">
        <v>200</v>
      </c>
    </row>
    <row r="213" spans="1:8" x14ac:dyDescent="0.25">
      <c r="A213" t="s">
        <v>337</v>
      </c>
      <c r="B213" t="s">
        <v>338</v>
      </c>
      <c r="C213" t="s">
        <v>32</v>
      </c>
      <c r="D213" t="s">
        <v>15</v>
      </c>
      <c r="E213" t="s">
        <v>16</v>
      </c>
      <c r="F213">
        <v>8</v>
      </c>
      <c r="G213">
        <v>25</v>
      </c>
      <c r="H213">
        <v>200</v>
      </c>
    </row>
    <row r="214" spans="1:8" x14ac:dyDescent="0.25">
      <c r="A214" t="s">
        <v>345</v>
      </c>
      <c r="B214" t="s">
        <v>346</v>
      </c>
      <c r="C214" t="s">
        <v>14</v>
      </c>
      <c r="D214" t="s">
        <v>15</v>
      </c>
      <c r="E214" t="s">
        <v>16</v>
      </c>
      <c r="F214">
        <v>1</v>
      </c>
      <c r="G214">
        <v>800</v>
      </c>
      <c r="H214">
        <v>800</v>
      </c>
    </row>
    <row r="215" spans="1:8" x14ac:dyDescent="0.25">
      <c r="A215" t="s">
        <v>353</v>
      </c>
      <c r="B215" t="s">
        <v>354</v>
      </c>
      <c r="C215" t="s">
        <v>32</v>
      </c>
      <c r="D215" t="s">
        <v>15</v>
      </c>
      <c r="E215" t="s">
        <v>16</v>
      </c>
      <c r="F215">
        <v>2</v>
      </c>
      <c r="G215">
        <v>700</v>
      </c>
      <c r="H215">
        <v>1400</v>
      </c>
    </row>
    <row r="216" spans="1:8" x14ac:dyDescent="0.25">
      <c r="A216" t="s">
        <v>361</v>
      </c>
      <c r="B216" t="s">
        <v>362</v>
      </c>
      <c r="C216" t="s">
        <v>14</v>
      </c>
      <c r="D216" t="s">
        <v>15</v>
      </c>
      <c r="E216" t="s">
        <v>16</v>
      </c>
      <c r="F216">
        <v>2</v>
      </c>
      <c r="G216">
        <v>750</v>
      </c>
      <c r="H216">
        <v>1500</v>
      </c>
    </row>
    <row r="217" spans="1:8" x14ac:dyDescent="0.25">
      <c r="A217" t="s">
        <v>369</v>
      </c>
      <c r="B217" t="s">
        <v>370</v>
      </c>
      <c r="C217" t="s">
        <v>32</v>
      </c>
      <c r="D217" t="s">
        <v>15</v>
      </c>
      <c r="E217" t="s">
        <v>16</v>
      </c>
      <c r="F217">
        <v>10</v>
      </c>
      <c r="G217">
        <v>20</v>
      </c>
      <c r="H217">
        <v>200</v>
      </c>
    </row>
    <row r="218" spans="1:8" x14ac:dyDescent="0.25">
      <c r="A218" t="s">
        <v>377</v>
      </c>
      <c r="B218" t="s">
        <v>378</v>
      </c>
      <c r="C218" t="s">
        <v>14</v>
      </c>
      <c r="D218" t="s">
        <v>15</v>
      </c>
      <c r="E218" t="s">
        <v>16</v>
      </c>
      <c r="F218">
        <v>8</v>
      </c>
      <c r="G218">
        <v>25</v>
      </c>
      <c r="H218">
        <v>200</v>
      </c>
    </row>
    <row r="219" spans="1:8" x14ac:dyDescent="0.25">
      <c r="A219" t="s">
        <v>385</v>
      </c>
      <c r="B219" t="s">
        <v>386</v>
      </c>
      <c r="C219" t="s">
        <v>32</v>
      </c>
      <c r="D219" t="s">
        <v>15</v>
      </c>
      <c r="E219" t="s">
        <v>16</v>
      </c>
      <c r="F219">
        <v>1</v>
      </c>
      <c r="G219">
        <v>800</v>
      </c>
      <c r="H219">
        <v>800</v>
      </c>
    </row>
    <row r="220" spans="1:8" x14ac:dyDescent="0.25">
      <c r="A220" t="s">
        <v>393</v>
      </c>
      <c r="B220" t="s">
        <v>394</v>
      </c>
      <c r="C220" t="s">
        <v>14</v>
      </c>
      <c r="D220" t="s">
        <v>15</v>
      </c>
      <c r="E220" t="s">
        <v>16</v>
      </c>
      <c r="F220">
        <v>2</v>
      </c>
      <c r="G220">
        <v>700</v>
      </c>
      <c r="H220">
        <v>1400</v>
      </c>
    </row>
    <row r="221" spans="1:8" x14ac:dyDescent="0.25">
      <c r="A221" t="s">
        <v>401</v>
      </c>
      <c r="B221" t="s">
        <v>402</v>
      </c>
      <c r="C221" t="s">
        <v>32</v>
      </c>
      <c r="D221" t="s">
        <v>15</v>
      </c>
      <c r="E221" t="s">
        <v>16</v>
      </c>
      <c r="F221">
        <v>2</v>
      </c>
      <c r="G221">
        <v>750</v>
      </c>
      <c r="H221">
        <v>1500</v>
      </c>
    </row>
    <row r="222" spans="1:8" x14ac:dyDescent="0.25">
      <c r="A222" t="s">
        <v>409</v>
      </c>
      <c r="B222" t="s">
        <v>410</v>
      </c>
      <c r="C222" t="s">
        <v>14</v>
      </c>
      <c r="D222" t="s">
        <v>15</v>
      </c>
      <c r="E222" t="s">
        <v>16</v>
      </c>
      <c r="F222">
        <v>10</v>
      </c>
      <c r="G222">
        <v>20</v>
      </c>
      <c r="H222">
        <v>200</v>
      </c>
    </row>
    <row r="223" spans="1:8" x14ac:dyDescent="0.25">
      <c r="A223" t="s">
        <v>417</v>
      </c>
      <c r="B223" t="s">
        <v>418</v>
      </c>
      <c r="C223" t="s">
        <v>32</v>
      </c>
      <c r="D223" t="s">
        <v>15</v>
      </c>
      <c r="E223" t="s">
        <v>16</v>
      </c>
      <c r="F223">
        <v>8</v>
      </c>
      <c r="G223">
        <v>25</v>
      </c>
      <c r="H223">
        <v>200</v>
      </c>
    </row>
    <row r="224" spans="1:8" x14ac:dyDescent="0.25">
      <c r="A224" t="s">
        <v>425</v>
      </c>
      <c r="B224" t="s">
        <v>426</v>
      </c>
      <c r="C224" t="s">
        <v>14</v>
      </c>
      <c r="D224" t="s">
        <v>15</v>
      </c>
      <c r="E224" t="s">
        <v>16</v>
      </c>
      <c r="F224">
        <v>1</v>
      </c>
      <c r="G224">
        <v>800</v>
      </c>
      <c r="H224">
        <v>800</v>
      </c>
    </row>
    <row r="225" spans="1:8" x14ac:dyDescent="0.25">
      <c r="A225" t="s">
        <v>433</v>
      </c>
      <c r="B225" t="s">
        <v>434</v>
      </c>
      <c r="C225" t="s">
        <v>32</v>
      </c>
      <c r="D225" t="s">
        <v>15</v>
      </c>
      <c r="E225" t="s">
        <v>16</v>
      </c>
      <c r="F225">
        <v>2</v>
      </c>
      <c r="G225">
        <v>700</v>
      </c>
      <c r="H225">
        <v>1400</v>
      </c>
    </row>
    <row r="226" spans="1:8" x14ac:dyDescent="0.25">
      <c r="A226" t="s">
        <v>441</v>
      </c>
      <c r="B226" t="s">
        <v>442</v>
      </c>
      <c r="C226" t="s">
        <v>14</v>
      </c>
      <c r="D226" t="s">
        <v>15</v>
      </c>
      <c r="E226" t="s">
        <v>16</v>
      </c>
      <c r="F226">
        <v>2</v>
      </c>
      <c r="G226">
        <v>750</v>
      </c>
      <c r="H226">
        <v>1500</v>
      </c>
    </row>
    <row r="227" spans="1:8" x14ac:dyDescent="0.25">
      <c r="A227" t="s">
        <v>449</v>
      </c>
      <c r="B227" t="s">
        <v>450</v>
      </c>
      <c r="C227" t="s">
        <v>32</v>
      </c>
      <c r="D227" t="s">
        <v>15</v>
      </c>
      <c r="E227" t="s">
        <v>16</v>
      </c>
      <c r="F227">
        <v>10</v>
      </c>
      <c r="G227">
        <v>20</v>
      </c>
      <c r="H227">
        <v>200</v>
      </c>
    </row>
    <row r="228" spans="1:8" x14ac:dyDescent="0.25">
      <c r="A228" t="s">
        <v>457</v>
      </c>
      <c r="B228" t="s">
        <v>458</v>
      </c>
      <c r="C228" t="s">
        <v>14</v>
      </c>
      <c r="D228" t="s">
        <v>15</v>
      </c>
      <c r="E228" t="s">
        <v>16</v>
      </c>
      <c r="F228">
        <v>8</v>
      </c>
      <c r="G228">
        <v>25</v>
      </c>
      <c r="H228">
        <v>200</v>
      </c>
    </row>
    <row r="229" spans="1:8" x14ac:dyDescent="0.25">
      <c r="A229" t="s">
        <v>465</v>
      </c>
      <c r="B229" t="s">
        <v>466</v>
      </c>
      <c r="C229" t="s">
        <v>32</v>
      </c>
      <c r="D229" t="s">
        <v>15</v>
      </c>
      <c r="E229" t="s">
        <v>16</v>
      </c>
      <c r="F229">
        <v>1</v>
      </c>
      <c r="G229">
        <v>800</v>
      </c>
      <c r="H229">
        <v>800</v>
      </c>
    </row>
    <row r="230" spans="1:8" x14ac:dyDescent="0.25">
      <c r="A230" t="s">
        <v>473</v>
      </c>
      <c r="B230" t="s">
        <v>474</v>
      </c>
      <c r="C230" t="s">
        <v>14</v>
      </c>
      <c r="D230" t="s">
        <v>15</v>
      </c>
      <c r="E230" t="s">
        <v>16</v>
      </c>
      <c r="F230">
        <v>2</v>
      </c>
      <c r="G230">
        <v>700</v>
      </c>
      <c r="H230">
        <v>1400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9705-5ED5-478A-BABE-85EC135AFA18}">
  <dimension ref="A1:H230"/>
  <sheetViews>
    <sheetView workbookViewId="0">
      <selection sqref="A1:H230"/>
    </sheetView>
  </sheetViews>
  <sheetFormatPr defaultRowHeight="15" x14ac:dyDescent="0.25"/>
  <cols>
    <col min="1" max="1" width="11.5703125" customWidth="1"/>
    <col min="2" max="2" width="15" customWidth="1"/>
    <col min="3" max="3" width="18.42578125" customWidth="1"/>
    <col min="4" max="4" width="9.28515625" customWidth="1"/>
    <col min="5" max="5" width="10.85546875" customWidth="1"/>
    <col min="6" max="6" width="11.28515625" customWidth="1"/>
    <col min="7" max="7" width="12.42578125" customWidth="1"/>
    <col min="8" max="8" width="10.5703125" customWidth="1"/>
  </cols>
  <sheetData>
    <row r="1" spans="1:8" x14ac:dyDescent="0.25">
      <c r="A1" t="s">
        <v>0</v>
      </c>
      <c r="B1" t="s">
        <v>1</v>
      </c>
      <c r="C1" t="s">
        <v>2</v>
      </c>
      <c r="D1" t="s">
        <v>3</v>
      </c>
      <c r="E1" t="s">
        <v>4</v>
      </c>
      <c r="F1" t="s">
        <v>5</v>
      </c>
      <c r="G1" t="s">
        <v>6</v>
      </c>
      <c r="H1" t="s">
        <v>513</v>
      </c>
    </row>
    <row r="2" spans="1:8" x14ac:dyDescent="0.25">
      <c r="A2" t="s">
        <v>18</v>
      </c>
      <c r="B2" t="s">
        <v>19</v>
      </c>
      <c r="C2" t="s">
        <v>20</v>
      </c>
      <c r="D2" t="s">
        <v>21</v>
      </c>
      <c r="E2" t="s">
        <v>22</v>
      </c>
      <c r="F2">
        <v>5</v>
      </c>
      <c r="G2">
        <v>50</v>
      </c>
      <c r="H2">
        <v>250</v>
      </c>
    </row>
    <row r="3" spans="1:8" x14ac:dyDescent="0.25">
      <c r="A3" t="s">
        <v>33</v>
      </c>
      <c r="B3" t="s">
        <v>34</v>
      </c>
      <c r="C3" t="s">
        <v>35</v>
      </c>
      <c r="D3" t="s">
        <v>21</v>
      </c>
      <c r="E3" t="s">
        <v>22</v>
      </c>
      <c r="F3">
        <v>4</v>
      </c>
      <c r="G3">
        <v>45</v>
      </c>
      <c r="H3">
        <v>180</v>
      </c>
    </row>
    <row r="4" spans="1:8" x14ac:dyDescent="0.25">
      <c r="A4" t="s">
        <v>43</v>
      </c>
      <c r="B4" t="s">
        <v>44</v>
      </c>
      <c r="C4" t="s">
        <v>20</v>
      </c>
      <c r="D4" t="s">
        <v>21</v>
      </c>
      <c r="E4" t="s">
        <v>22</v>
      </c>
      <c r="F4">
        <v>2</v>
      </c>
      <c r="G4">
        <v>500</v>
      </c>
      <c r="H4">
        <v>1000</v>
      </c>
    </row>
    <row r="5" spans="1:8" x14ac:dyDescent="0.25">
      <c r="A5" t="s">
        <v>51</v>
      </c>
      <c r="B5" t="s">
        <v>52</v>
      </c>
      <c r="C5" t="s">
        <v>35</v>
      </c>
      <c r="D5" t="s">
        <v>21</v>
      </c>
      <c r="E5" t="s">
        <v>22</v>
      </c>
      <c r="F5">
        <v>3</v>
      </c>
      <c r="G5">
        <v>600</v>
      </c>
      <c r="H5">
        <v>1800</v>
      </c>
    </row>
    <row r="6" spans="1:8" x14ac:dyDescent="0.25">
      <c r="A6" t="s">
        <v>59</v>
      </c>
      <c r="B6" t="s">
        <v>60</v>
      </c>
      <c r="C6" t="s">
        <v>20</v>
      </c>
      <c r="D6" t="s">
        <v>21</v>
      </c>
      <c r="E6" t="s">
        <v>22</v>
      </c>
      <c r="F6">
        <v>1</v>
      </c>
      <c r="G6">
        <v>1000</v>
      </c>
      <c r="H6">
        <v>1000</v>
      </c>
    </row>
    <row r="7" spans="1:8" x14ac:dyDescent="0.25">
      <c r="A7" t="s">
        <v>67</v>
      </c>
      <c r="B7" t="s">
        <v>68</v>
      </c>
      <c r="C7" t="s">
        <v>35</v>
      </c>
      <c r="D7" t="s">
        <v>21</v>
      </c>
      <c r="E7" t="s">
        <v>22</v>
      </c>
      <c r="F7">
        <v>5</v>
      </c>
      <c r="G7">
        <v>50</v>
      </c>
      <c r="H7">
        <v>250</v>
      </c>
    </row>
    <row r="8" spans="1:8" x14ac:dyDescent="0.25">
      <c r="A8" t="s">
        <v>75</v>
      </c>
      <c r="B8" t="s">
        <v>76</v>
      </c>
      <c r="C8" t="s">
        <v>20</v>
      </c>
      <c r="D8" t="s">
        <v>21</v>
      </c>
      <c r="E8" t="s">
        <v>22</v>
      </c>
      <c r="F8">
        <v>4</v>
      </c>
      <c r="G8">
        <v>45</v>
      </c>
      <c r="H8">
        <v>180</v>
      </c>
    </row>
    <row r="9" spans="1:8" x14ac:dyDescent="0.25">
      <c r="A9" t="s">
        <v>83</v>
      </c>
      <c r="B9" t="s">
        <v>84</v>
      </c>
      <c r="C9" t="s">
        <v>35</v>
      </c>
      <c r="D9" t="s">
        <v>21</v>
      </c>
      <c r="E9" t="s">
        <v>22</v>
      </c>
      <c r="F9">
        <v>2</v>
      </c>
      <c r="G9">
        <v>500</v>
      </c>
      <c r="H9">
        <v>1000</v>
      </c>
    </row>
    <row r="10" spans="1:8" x14ac:dyDescent="0.25">
      <c r="A10" t="s">
        <v>91</v>
      </c>
      <c r="B10" t="s">
        <v>92</v>
      </c>
      <c r="C10" t="s">
        <v>20</v>
      </c>
      <c r="D10" t="s">
        <v>21</v>
      </c>
      <c r="E10" t="s">
        <v>22</v>
      </c>
      <c r="F10">
        <v>3</v>
      </c>
      <c r="G10">
        <v>600</v>
      </c>
      <c r="H10">
        <v>1800</v>
      </c>
    </row>
    <row r="11" spans="1:8" x14ac:dyDescent="0.25">
      <c r="A11" t="s">
        <v>99</v>
      </c>
      <c r="B11" t="s">
        <v>100</v>
      </c>
      <c r="C11" t="s">
        <v>35</v>
      </c>
      <c r="D11" t="s">
        <v>21</v>
      </c>
      <c r="E11" t="s">
        <v>22</v>
      </c>
      <c r="F11">
        <v>1</v>
      </c>
      <c r="G11">
        <v>1000</v>
      </c>
      <c r="H11">
        <v>1000</v>
      </c>
    </row>
    <row r="12" spans="1:8" x14ac:dyDescent="0.25">
      <c r="A12" t="s">
        <v>107</v>
      </c>
      <c r="B12" t="s">
        <v>108</v>
      </c>
      <c r="C12" t="s">
        <v>20</v>
      </c>
      <c r="D12" t="s">
        <v>21</v>
      </c>
      <c r="E12" t="s">
        <v>22</v>
      </c>
      <c r="F12">
        <v>5</v>
      </c>
      <c r="G12">
        <v>50</v>
      </c>
      <c r="H12">
        <v>250</v>
      </c>
    </row>
    <row r="13" spans="1:8" x14ac:dyDescent="0.25">
      <c r="A13" t="s">
        <v>115</v>
      </c>
      <c r="B13" t="s">
        <v>116</v>
      </c>
      <c r="C13" t="s">
        <v>35</v>
      </c>
      <c r="D13" t="s">
        <v>21</v>
      </c>
      <c r="E13" t="s">
        <v>22</v>
      </c>
      <c r="F13">
        <v>4</v>
      </c>
      <c r="G13">
        <v>45</v>
      </c>
      <c r="H13">
        <v>180</v>
      </c>
    </row>
    <row r="14" spans="1:8" x14ac:dyDescent="0.25">
      <c r="A14" t="s">
        <v>123</v>
      </c>
      <c r="B14" t="s">
        <v>124</v>
      </c>
      <c r="C14" t="s">
        <v>20</v>
      </c>
      <c r="D14" t="s">
        <v>21</v>
      </c>
      <c r="E14" t="s">
        <v>22</v>
      </c>
      <c r="F14">
        <v>2</v>
      </c>
      <c r="G14">
        <v>500</v>
      </c>
      <c r="H14">
        <v>1000</v>
      </c>
    </row>
    <row r="15" spans="1:8" x14ac:dyDescent="0.25">
      <c r="A15" t="s">
        <v>131</v>
      </c>
      <c r="B15" t="s">
        <v>132</v>
      </c>
      <c r="C15" t="s">
        <v>35</v>
      </c>
      <c r="D15" t="s">
        <v>21</v>
      </c>
      <c r="E15" t="s">
        <v>22</v>
      </c>
      <c r="F15">
        <v>3</v>
      </c>
      <c r="G15">
        <v>600</v>
      </c>
      <c r="H15">
        <v>1800</v>
      </c>
    </row>
    <row r="16" spans="1:8" x14ac:dyDescent="0.25">
      <c r="A16" t="s">
        <v>139</v>
      </c>
      <c r="B16" t="s">
        <v>140</v>
      </c>
      <c r="C16" t="s">
        <v>20</v>
      </c>
      <c r="D16" t="s">
        <v>21</v>
      </c>
      <c r="E16" t="s">
        <v>22</v>
      </c>
      <c r="F16">
        <v>1</v>
      </c>
      <c r="G16">
        <v>1000</v>
      </c>
      <c r="H16">
        <v>1000</v>
      </c>
    </row>
    <row r="17" spans="1:8" x14ac:dyDescent="0.25">
      <c r="A17" t="s">
        <v>147</v>
      </c>
      <c r="B17" t="s">
        <v>148</v>
      </c>
      <c r="C17" t="s">
        <v>35</v>
      </c>
      <c r="D17" t="s">
        <v>21</v>
      </c>
      <c r="E17" t="s">
        <v>22</v>
      </c>
      <c r="F17">
        <v>5</v>
      </c>
      <c r="G17">
        <v>50</v>
      </c>
      <c r="H17">
        <v>250</v>
      </c>
    </row>
    <row r="18" spans="1:8" x14ac:dyDescent="0.25">
      <c r="A18" t="s">
        <v>155</v>
      </c>
      <c r="B18" t="s">
        <v>156</v>
      </c>
      <c r="C18" t="s">
        <v>20</v>
      </c>
      <c r="D18" t="s">
        <v>21</v>
      </c>
      <c r="E18" t="s">
        <v>22</v>
      </c>
      <c r="F18">
        <v>4</v>
      </c>
      <c r="G18">
        <v>45</v>
      </c>
      <c r="H18">
        <v>180</v>
      </c>
    </row>
    <row r="19" spans="1:8" x14ac:dyDescent="0.25">
      <c r="A19" t="s">
        <v>163</v>
      </c>
      <c r="B19" t="s">
        <v>164</v>
      </c>
      <c r="C19" t="s">
        <v>35</v>
      </c>
      <c r="D19" t="s">
        <v>21</v>
      </c>
      <c r="E19" t="s">
        <v>22</v>
      </c>
      <c r="F19">
        <v>2</v>
      </c>
      <c r="G19">
        <v>500</v>
      </c>
      <c r="H19">
        <v>1000</v>
      </c>
    </row>
    <row r="20" spans="1:8" x14ac:dyDescent="0.25">
      <c r="A20" t="s">
        <v>171</v>
      </c>
      <c r="B20" t="s">
        <v>172</v>
      </c>
      <c r="C20" t="s">
        <v>20</v>
      </c>
      <c r="D20" t="s">
        <v>21</v>
      </c>
      <c r="E20" t="s">
        <v>22</v>
      </c>
      <c r="F20">
        <v>3</v>
      </c>
      <c r="G20">
        <v>600</v>
      </c>
      <c r="H20">
        <v>1800</v>
      </c>
    </row>
    <row r="21" spans="1:8" x14ac:dyDescent="0.25">
      <c r="A21" t="s">
        <v>179</v>
      </c>
      <c r="B21" t="s">
        <v>180</v>
      </c>
      <c r="C21" t="s">
        <v>35</v>
      </c>
      <c r="D21" t="s">
        <v>21</v>
      </c>
      <c r="E21" t="s">
        <v>22</v>
      </c>
      <c r="F21">
        <v>1</v>
      </c>
      <c r="G21">
        <v>1000</v>
      </c>
      <c r="H21">
        <v>1000</v>
      </c>
    </row>
    <row r="22" spans="1:8" x14ac:dyDescent="0.25">
      <c r="A22" t="s">
        <v>187</v>
      </c>
      <c r="B22" t="s">
        <v>188</v>
      </c>
      <c r="C22" t="s">
        <v>20</v>
      </c>
      <c r="D22" t="s">
        <v>21</v>
      </c>
      <c r="E22" t="s">
        <v>22</v>
      </c>
      <c r="F22">
        <v>5</v>
      </c>
      <c r="G22">
        <v>50</v>
      </c>
      <c r="H22">
        <v>250</v>
      </c>
    </row>
    <row r="23" spans="1:8" x14ac:dyDescent="0.25">
      <c r="A23" t="s">
        <v>195</v>
      </c>
      <c r="B23" t="s">
        <v>196</v>
      </c>
      <c r="C23" t="s">
        <v>35</v>
      </c>
      <c r="D23" t="s">
        <v>21</v>
      </c>
      <c r="E23" t="s">
        <v>22</v>
      </c>
      <c r="F23">
        <v>4</v>
      </c>
      <c r="G23">
        <v>45</v>
      </c>
      <c r="H23">
        <v>180</v>
      </c>
    </row>
    <row r="24" spans="1:8" x14ac:dyDescent="0.25">
      <c r="A24" t="s">
        <v>203</v>
      </c>
      <c r="B24" t="s">
        <v>204</v>
      </c>
      <c r="C24" t="s">
        <v>20</v>
      </c>
      <c r="D24" t="s">
        <v>21</v>
      </c>
      <c r="E24" t="s">
        <v>22</v>
      </c>
      <c r="F24">
        <v>2</v>
      </c>
      <c r="G24">
        <v>500</v>
      </c>
      <c r="H24">
        <v>1000</v>
      </c>
    </row>
    <row r="25" spans="1:8" x14ac:dyDescent="0.25">
      <c r="A25" t="s">
        <v>211</v>
      </c>
      <c r="B25" t="s">
        <v>212</v>
      </c>
      <c r="C25" t="s">
        <v>35</v>
      </c>
      <c r="D25" t="s">
        <v>21</v>
      </c>
      <c r="E25" t="s">
        <v>22</v>
      </c>
      <c r="F25">
        <v>3</v>
      </c>
      <c r="G25">
        <v>600</v>
      </c>
      <c r="H25">
        <v>1800</v>
      </c>
    </row>
    <row r="26" spans="1:8" x14ac:dyDescent="0.25">
      <c r="A26" t="s">
        <v>219</v>
      </c>
      <c r="B26" t="s">
        <v>220</v>
      </c>
      <c r="C26" t="s">
        <v>20</v>
      </c>
      <c r="D26" t="s">
        <v>21</v>
      </c>
      <c r="E26" t="s">
        <v>22</v>
      </c>
      <c r="F26">
        <v>1</v>
      </c>
      <c r="G26">
        <v>1000</v>
      </c>
      <c r="H26">
        <v>1000</v>
      </c>
    </row>
    <row r="27" spans="1:8" x14ac:dyDescent="0.25">
      <c r="A27" t="s">
        <v>227</v>
      </c>
      <c r="B27" t="s">
        <v>228</v>
      </c>
      <c r="C27" t="s">
        <v>35</v>
      </c>
      <c r="D27" t="s">
        <v>21</v>
      </c>
      <c r="E27" t="s">
        <v>22</v>
      </c>
      <c r="F27">
        <v>5</v>
      </c>
      <c r="G27">
        <v>50</v>
      </c>
      <c r="H27">
        <v>250</v>
      </c>
    </row>
    <row r="28" spans="1:8" x14ac:dyDescent="0.25">
      <c r="A28" t="s">
        <v>235</v>
      </c>
      <c r="B28" t="s">
        <v>236</v>
      </c>
      <c r="C28" t="s">
        <v>20</v>
      </c>
      <c r="D28" t="s">
        <v>21</v>
      </c>
      <c r="E28" t="s">
        <v>22</v>
      </c>
      <c r="F28">
        <v>4</v>
      </c>
      <c r="G28">
        <v>45</v>
      </c>
      <c r="H28">
        <v>180</v>
      </c>
    </row>
    <row r="29" spans="1:8" x14ac:dyDescent="0.25">
      <c r="A29" t="s">
        <v>243</v>
      </c>
      <c r="B29" t="s">
        <v>244</v>
      </c>
      <c r="C29" t="s">
        <v>35</v>
      </c>
      <c r="D29" t="s">
        <v>21</v>
      </c>
      <c r="E29" t="s">
        <v>22</v>
      </c>
      <c r="F29">
        <v>2</v>
      </c>
      <c r="G29">
        <v>500</v>
      </c>
      <c r="H29">
        <v>1000</v>
      </c>
    </row>
    <row r="30" spans="1:8" x14ac:dyDescent="0.25">
      <c r="A30" t="s">
        <v>251</v>
      </c>
      <c r="B30" t="s">
        <v>252</v>
      </c>
      <c r="C30" t="s">
        <v>20</v>
      </c>
      <c r="D30" t="s">
        <v>21</v>
      </c>
      <c r="E30" t="s">
        <v>22</v>
      </c>
      <c r="F30">
        <v>3</v>
      </c>
      <c r="G30">
        <v>600</v>
      </c>
      <c r="H30">
        <v>1800</v>
      </c>
    </row>
    <row r="31" spans="1:8" x14ac:dyDescent="0.25">
      <c r="A31" t="s">
        <v>259</v>
      </c>
      <c r="B31" t="s">
        <v>260</v>
      </c>
      <c r="C31" t="s">
        <v>35</v>
      </c>
      <c r="D31" t="s">
        <v>21</v>
      </c>
      <c r="E31" t="s">
        <v>22</v>
      </c>
      <c r="F31">
        <v>1</v>
      </c>
      <c r="G31">
        <v>1000</v>
      </c>
      <c r="H31">
        <v>1000</v>
      </c>
    </row>
    <row r="32" spans="1:8" x14ac:dyDescent="0.25">
      <c r="A32" t="s">
        <v>267</v>
      </c>
      <c r="B32" t="s">
        <v>268</v>
      </c>
      <c r="C32" t="s">
        <v>20</v>
      </c>
      <c r="D32" t="s">
        <v>21</v>
      </c>
      <c r="E32" t="s">
        <v>22</v>
      </c>
      <c r="F32">
        <v>5</v>
      </c>
      <c r="G32">
        <v>50</v>
      </c>
      <c r="H32">
        <v>250</v>
      </c>
    </row>
    <row r="33" spans="1:8" x14ac:dyDescent="0.25">
      <c r="A33" t="s">
        <v>275</v>
      </c>
      <c r="B33" t="s">
        <v>276</v>
      </c>
      <c r="C33" t="s">
        <v>35</v>
      </c>
      <c r="D33" t="s">
        <v>21</v>
      </c>
      <c r="E33" t="s">
        <v>22</v>
      </c>
      <c r="F33">
        <v>4</v>
      </c>
      <c r="G33">
        <v>45</v>
      </c>
      <c r="H33">
        <v>180</v>
      </c>
    </row>
    <row r="34" spans="1:8" x14ac:dyDescent="0.25">
      <c r="A34" t="s">
        <v>283</v>
      </c>
      <c r="B34" t="s">
        <v>284</v>
      </c>
      <c r="C34" t="s">
        <v>20</v>
      </c>
      <c r="D34" t="s">
        <v>21</v>
      </c>
      <c r="E34" t="s">
        <v>22</v>
      </c>
      <c r="F34">
        <v>2</v>
      </c>
      <c r="G34">
        <v>500</v>
      </c>
      <c r="H34">
        <v>1000</v>
      </c>
    </row>
    <row r="35" spans="1:8" x14ac:dyDescent="0.25">
      <c r="A35" t="s">
        <v>291</v>
      </c>
      <c r="B35" t="s">
        <v>292</v>
      </c>
      <c r="C35" t="s">
        <v>35</v>
      </c>
      <c r="D35" t="s">
        <v>21</v>
      </c>
      <c r="E35" t="s">
        <v>22</v>
      </c>
      <c r="F35">
        <v>3</v>
      </c>
      <c r="G35">
        <v>600</v>
      </c>
      <c r="H35">
        <v>1800</v>
      </c>
    </row>
    <row r="36" spans="1:8" x14ac:dyDescent="0.25">
      <c r="A36" t="s">
        <v>299</v>
      </c>
      <c r="B36" t="s">
        <v>300</v>
      </c>
      <c r="C36" t="s">
        <v>20</v>
      </c>
      <c r="D36" t="s">
        <v>21</v>
      </c>
      <c r="E36" t="s">
        <v>22</v>
      </c>
      <c r="F36">
        <v>1</v>
      </c>
      <c r="G36">
        <v>1000</v>
      </c>
      <c r="H36">
        <v>1000</v>
      </c>
    </row>
    <row r="37" spans="1:8" x14ac:dyDescent="0.25">
      <c r="A37" t="s">
        <v>307</v>
      </c>
      <c r="B37" t="s">
        <v>308</v>
      </c>
      <c r="C37" t="s">
        <v>35</v>
      </c>
      <c r="D37" t="s">
        <v>21</v>
      </c>
      <c r="E37" t="s">
        <v>22</v>
      </c>
      <c r="F37">
        <v>5</v>
      </c>
      <c r="G37">
        <v>50</v>
      </c>
      <c r="H37">
        <v>250</v>
      </c>
    </row>
    <row r="38" spans="1:8" x14ac:dyDescent="0.25">
      <c r="A38" t="s">
        <v>315</v>
      </c>
      <c r="B38" t="s">
        <v>316</v>
      </c>
      <c r="C38" t="s">
        <v>20</v>
      </c>
      <c r="D38" t="s">
        <v>21</v>
      </c>
      <c r="E38" t="s">
        <v>22</v>
      </c>
      <c r="F38">
        <v>4</v>
      </c>
      <c r="G38">
        <v>45</v>
      </c>
      <c r="H38">
        <v>180</v>
      </c>
    </row>
    <row r="39" spans="1:8" x14ac:dyDescent="0.25">
      <c r="A39" t="s">
        <v>323</v>
      </c>
      <c r="B39" t="s">
        <v>324</v>
      </c>
      <c r="C39" t="s">
        <v>35</v>
      </c>
      <c r="D39" t="s">
        <v>21</v>
      </c>
      <c r="E39" t="s">
        <v>22</v>
      </c>
      <c r="F39">
        <v>2</v>
      </c>
      <c r="G39">
        <v>500</v>
      </c>
      <c r="H39">
        <v>1000</v>
      </c>
    </row>
    <row r="40" spans="1:8" x14ac:dyDescent="0.25">
      <c r="A40" t="s">
        <v>331</v>
      </c>
      <c r="B40" t="s">
        <v>332</v>
      </c>
      <c r="C40" t="s">
        <v>20</v>
      </c>
      <c r="D40" t="s">
        <v>21</v>
      </c>
      <c r="E40" t="s">
        <v>22</v>
      </c>
      <c r="F40">
        <v>3</v>
      </c>
      <c r="G40">
        <v>600</v>
      </c>
      <c r="H40">
        <v>1800</v>
      </c>
    </row>
    <row r="41" spans="1:8" x14ac:dyDescent="0.25">
      <c r="A41" t="s">
        <v>339</v>
      </c>
      <c r="B41" t="s">
        <v>340</v>
      </c>
      <c r="C41" t="s">
        <v>35</v>
      </c>
      <c r="D41" t="s">
        <v>21</v>
      </c>
      <c r="E41" t="s">
        <v>22</v>
      </c>
      <c r="F41">
        <v>1</v>
      </c>
      <c r="G41">
        <v>1000</v>
      </c>
      <c r="H41">
        <v>1000</v>
      </c>
    </row>
    <row r="42" spans="1:8" x14ac:dyDescent="0.25">
      <c r="A42" t="s">
        <v>347</v>
      </c>
      <c r="B42" t="s">
        <v>348</v>
      </c>
      <c r="C42" t="s">
        <v>20</v>
      </c>
      <c r="D42" t="s">
        <v>21</v>
      </c>
      <c r="E42" t="s">
        <v>22</v>
      </c>
      <c r="F42">
        <v>5</v>
      </c>
      <c r="G42">
        <v>50</v>
      </c>
      <c r="H42">
        <v>250</v>
      </c>
    </row>
    <row r="43" spans="1:8" x14ac:dyDescent="0.25">
      <c r="A43" t="s">
        <v>355</v>
      </c>
      <c r="B43" t="s">
        <v>356</v>
      </c>
      <c r="C43" t="s">
        <v>35</v>
      </c>
      <c r="D43" t="s">
        <v>21</v>
      </c>
      <c r="E43" t="s">
        <v>22</v>
      </c>
      <c r="F43">
        <v>4</v>
      </c>
      <c r="G43">
        <v>45</v>
      </c>
      <c r="H43">
        <v>180</v>
      </c>
    </row>
    <row r="44" spans="1:8" x14ac:dyDescent="0.25">
      <c r="A44" t="s">
        <v>363</v>
      </c>
      <c r="B44" t="s">
        <v>364</v>
      </c>
      <c r="C44" t="s">
        <v>20</v>
      </c>
      <c r="D44" t="s">
        <v>21</v>
      </c>
      <c r="E44" t="s">
        <v>22</v>
      </c>
      <c r="F44">
        <v>2</v>
      </c>
      <c r="G44">
        <v>500</v>
      </c>
      <c r="H44">
        <v>1000</v>
      </c>
    </row>
    <row r="45" spans="1:8" x14ac:dyDescent="0.25">
      <c r="A45" t="s">
        <v>371</v>
      </c>
      <c r="B45" t="s">
        <v>372</v>
      </c>
      <c r="C45" t="s">
        <v>35</v>
      </c>
      <c r="D45" t="s">
        <v>21</v>
      </c>
      <c r="E45" t="s">
        <v>22</v>
      </c>
      <c r="F45">
        <v>3</v>
      </c>
      <c r="G45">
        <v>600</v>
      </c>
      <c r="H45">
        <v>1800</v>
      </c>
    </row>
    <row r="46" spans="1:8" x14ac:dyDescent="0.25">
      <c r="A46" t="s">
        <v>379</v>
      </c>
      <c r="B46" t="s">
        <v>380</v>
      </c>
      <c r="C46" t="s">
        <v>20</v>
      </c>
      <c r="D46" t="s">
        <v>21</v>
      </c>
      <c r="E46" t="s">
        <v>22</v>
      </c>
      <c r="F46">
        <v>1</v>
      </c>
      <c r="G46">
        <v>1000</v>
      </c>
      <c r="H46">
        <v>1000</v>
      </c>
    </row>
    <row r="47" spans="1:8" x14ac:dyDescent="0.25">
      <c r="A47" t="s">
        <v>387</v>
      </c>
      <c r="B47" t="s">
        <v>388</v>
      </c>
      <c r="C47" t="s">
        <v>35</v>
      </c>
      <c r="D47" t="s">
        <v>21</v>
      </c>
      <c r="E47" t="s">
        <v>22</v>
      </c>
      <c r="F47">
        <v>5</v>
      </c>
      <c r="G47">
        <v>50</v>
      </c>
      <c r="H47">
        <v>250</v>
      </c>
    </row>
    <row r="48" spans="1:8" x14ac:dyDescent="0.25">
      <c r="A48" t="s">
        <v>395</v>
      </c>
      <c r="B48" t="s">
        <v>396</v>
      </c>
      <c r="C48" t="s">
        <v>20</v>
      </c>
      <c r="D48" t="s">
        <v>21</v>
      </c>
      <c r="E48" t="s">
        <v>22</v>
      </c>
      <c r="F48">
        <v>4</v>
      </c>
      <c r="G48">
        <v>45</v>
      </c>
      <c r="H48">
        <v>180</v>
      </c>
    </row>
    <row r="49" spans="1:8" x14ac:dyDescent="0.25">
      <c r="A49" t="s">
        <v>403</v>
      </c>
      <c r="B49" t="s">
        <v>404</v>
      </c>
      <c r="C49" t="s">
        <v>35</v>
      </c>
      <c r="D49" t="s">
        <v>21</v>
      </c>
      <c r="E49" t="s">
        <v>22</v>
      </c>
      <c r="F49">
        <v>2</v>
      </c>
      <c r="G49">
        <v>500</v>
      </c>
      <c r="H49">
        <v>1000</v>
      </c>
    </row>
    <row r="50" spans="1:8" x14ac:dyDescent="0.25">
      <c r="A50" t="s">
        <v>411</v>
      </c>
      <c r="B50" t="s">
        <v>412</v>
      </c>
      <c r="C50" t="s">
        <v>20</v>
      </c>
      <c r="D50" t="s">
        <v>21</v>
      </c>
      <c r="E50" t="s">
        <v>22</v>
      </c>
      <c r="F50">
        <v>3</v>
      </c>
      <c r="G50">
        <v>600</v>
      </c>
      <c r="H50">
        <v>1800</v>
      </c>
    </row>
    <row r="51" spans="1:8" x14ac:dyDescent="0.25">
      <c r="A51" t="s">
        <v>419</v>
      </c>
      <c r="B51" t="s">
        <v>420</v>
      </c>
      <c r="C51" t="s">
        <v>35</v>
      </c>
      <c r="D51" t="s">
        <v>21</v>
      </c>
      <c r="E51" t="s">
        <v>22</v>
      </c>
      <c r="F51">
        <v>1</v>
      </c>
      <c r="G51">
        <v>1000</v>
      </c>
      <c r="H51">
        <v>1000</v>
      </c>
    </row>
    <row r="52" spans="1:8" x14ac:dyDescent="0.25">
      <c r="A52" t="s">
        <v>427</v>
      </c>
      <c r="B52" t="s">
        <v>428</v>
      </c>
      <c r="C52" t="s">
        <v>20</v>
      </c>
      <c r="D52" t="s">
        <v>21</v>
      </c>
      <c r="E52" t="s">
        <v>22</v>
      </c>
      <c r="F52">
        <v>5</v>
      </c>
      <c r="G52">
        <v>50</v>
      </c>
      <c r="H52">
        <v>250</v>
      </c>
    </row>
    <row r="53" spans="1:8" x14ac:dyDescent="0.25">
      <c r="A53" t="s">
        <v>435</v>
      </c>
      <c r="B53" t="s">
        <v>436</v>
      </c>
      <c r="C53" t="s">
        <v>35</v>
      </c>
      <c r="D53" t="s">
        <v>21</v>
      </c>
      <c r="E53" t="s">
        <v>22</v>
      </c>
      <c r="F53">
        <v>4</v>
      </c>
      <c r="G53">
        <v>45</v>
      </c>
      <c r="H53">
        <v>180</v>
      </c>
    </row>
    <row r="54" spans="1:8" x14ac:dyDescent="0.25">
      <c r="A54" t="s">
        <v>443</v>
      </c>
      <c r="B54" t="s">
        <v>444</v>
      </c>
      <c r="C54" t="s">
        <v>20</v>
      </c>
      <c r="D54" t="s">
        <v>21</v>
      </c>
      <c r="E54" t="s">
        <v>22</v>
      </c>
      <c r="F54">
        <v>2</v>
      </c>
      <c r="G54">
        <v>500</v>
      </c>
      <c r="H54">
        <v>1000</v>
      </c>
    </row>
    <row r="55" spans="1:8" x14ac:dyDescent="0.25">
      <c r="A55" t="s">
        <v>451</v>
      </c>
      <c r="B55" t="s">
        <v>452</v>
      </c>
      <c r="C55" t="s">
        <v>35</v>
      </c>
      <c r="D55" t="s">
        <v>21</v>
      </c>
      <c r="E55" t="s">
        <v>22</v>
      </c>
      <c r="F55">
        <v>3</v>
      </c>
      <c r="G55">
        <v>600</v>
      </c>
      <c r="H55">
        <v>1800</v>
      </c>
    </row>
    <row r="56" spans="1:8" x14ac:dyDescent="0.25">
      <c r="A56" t="s">
        <v>459</v>
      </c>
      <c r="B56" t="s">
        <v>460</v>
      </c>
      <c r="C56" t="s">
        <v>20</v>
      </c>
      <c r="D56" t="s">
        <v>21</v>
      </c>
      <c r="E56" t="s">
        <v>22</v>
      </c>
      <c r="F56">
        <v>1</v>
      </c>
      <c r="G56">
        <v>1000</v>
      </c>
      <c r="H56">
        <v>1000</v>
      </c>
    </row>
    <row r="57" spans="1:8" x14ac:dyDescent="0.25">
      <c r="A57" t="s">
        <v>467</v>
      </c>
      <c r="B57" t="s">
        <v>468</v>
      </c>
      <c r="C57" t="s">
        <v>35</v>
      </c>
      <c r="D57" t="s">
        <v>21</v>
      </c>
      <c r="E57" t="s">
        <v>22</v>
      </c>
      <c r="F57">
        <v>5</v>
      </c>
      <c r="G57">
        <v>50</v>
      </c>
      <c r="H57">
        <v>250</v>
      </c>
    </row>
    <row r="58" spans="1:8" x14ac:dyDescent="0.25">
      <c r="A58" t="s">
        <v>475</v>
      </c>
      <c r="B58" t="s">
        <v>476</v>
      </c>
      <c r="C58" t="s">
        <v>20</v>
      </c>
      <c r="D58" t="s">
        <v>21</v>
      </c>
      <c r="E58" t="s">
        <v>22</v>
      </c>
      <c r="F58">
        <v>4</v>
      </c>
      <c r="G58">
        <v>45</v>
      </c>
      <c r="H58">
        <v>180</v>
      </c>
    </row>
    <row r="59" spans="1:8" x14ac:dyDescent="0.25">
      <c r="A59" t="s">
        <v>7</v>
      </c>
      <c r="B59" t="s">
        <v>8</v>
      </c>
      <c r="C59" t="s">
        <v>9</v>
      </c>
      <c r="D59" t="s">
        <v>10</v>
      </c>
      <c r="E59" t="s">
        <v>11</v>
      </c>
      <c r="F59">
        <v>2</v>
      </c>
      <c r="G59">
        <v>500</v>
      </c>
      <c r="H59">
        <v>1000</v>
      </c>
    </row>
    <row r="60" spans="1:8" x14ac:dyDescent="0.25">
      <c r="A60" t="s">
        <v>27</v>
      </c>
      <c r="B60" t="s">
        <v>28</v>
      </c>
      <c r="C60" t="s">
        <v>29</v>
      </c>
      <c r="D60" t="s">
        <v>10</v>
      </c>
      <c r="E60" t="s">
        <v>11</v>
      </c>
      <c r="F60">
        <v>3</v>
      </c>
      <c r="G60">
        <v>600</v>
      </c>
      <c r="H60">
        <v>1800</v>
      </c>
    </row>
    <row r="61" spans="1:8" x14ac:dyDescent="0.25">
      <c r="A61" t="s">
        <v>39</v>
      </c>
      <c r="B61" t="s">
        <v>40</v>
      </c>
      <c r="C61" t="s">
        <v>9</v>
      </c>
      <c r="D61" t="s">
        <v>10</v>
      </c>
      <c r="E61" t="s">
        <v>11</v>
      </c>
      <c r="F61">
        <v>1</v>
      </c>
      <c r="G61">
        <v>1000</v>
      </c>
      <c r="H61">
        <v>1000</v>
      </c>
    </row>
    <row r="62" spans="1:8" x14ac:dyDescent="0.25">
      <c r="A62" t="s">
        <v>47</v>
      </c>
      <c r="B62" t="s">
        <v>48</v>
      </c>
      <c r="C62" t="s">
        <v>29</v>
      </c>
      <c r="D62" t="s">
        <v>10</v>
      </c>
      <c r="E62" t="s">
        <v>11</v>
      </c>
      <c r="F62">
        <v>5</v>
      </c>
      <c r="G62">
        <v>50</v>
      </c>
      <c r="H62">
        <v>250</v>
      </c>
    </row>
    <row r="63" spans="1:8" x14ac:dyDescent="0.25">
      <c r="A63" t="s">
        <v>55</v>
      </c>
      <c r="B63" t="s">
        <v>56</v>
      </c>
      <c r="C63" t="s">
        <v>9</v>
      </c>
      <c r="D63" t="s">
        <v>10</v>
      </c>
      <c r="E63" t="s">
        <v>11</v>
      </c>
      <c r="F63">
        <v>4</v>
      </c>
      <c r="G63">
        <v>45</v>
      </c>
      <c r="H63">
        <v>180</v>
      </c>
    </row>
    <row r="64" spans="1:8" x14ac:dyDescent="0.25">
      <c r="A64" t="s">
        <v>63</v>
      </c>
      <c r="B64" t="s">
        <v>64</v>
      </c>
      <c r="C64" t="s">
        <v>29</v>
      </c>
      <c r="D64" t="s">
        <v>10</v>
      </c>
      <c r="E64" t="s">
        <v>11</v>
      </c>
      <c r="F64">
        <v>2</v>
      </c>
      <c r="G64">
        <v>500</v>
      </c>
      <c r="H64">
        <v>1000</v>
      </c>
    </row>
    <row r="65" spans="1:8" x14ac:dyDescent="0.25">
      <c r="A65" t="s">
        <v>71</v>
      </c>
      <c r="B65" t="s">
        <v>72</v>
      </c>
      <c r="C65" t="s">
        <v>9</v>
      </c>
      <c r="D65" t="s">
        <v>10</v>
      </c>
      <c r="E65" t="s">
        <v>11</v>
      </c>
      <c r="F65">
        <v>3</v>
      </c>
      <c r="G65">
        <v>600</v>
      </c>
      <c r="H65">
        <v>1800</v>
      </c>
    </row>
    <row r="66" spans="1:8" x14ac:dyDescent="0.25">
      <c r="A66" t="s">
        <v>79</v>
      </c>
      <c r="B66" t="s">
        <v>80</v>
      </c>
      <c r="C66" t="s">
        <v>29</v>
      </c>
      <c r="D66" t="s">
        <v>10</v>
      </c>
      <c r="E66" t="s">
        <v>11</v>
      </c>
      <c r="F66">
        <v>1</v>
      </c>
      <c r="G66">
        <v>1000</v>
      </c>
      <c r="H66">
        <v>1000</v>
      </c>
    </row>
    <row r="67" spans="1:8" x14ac:dyDescent="0.25">
      <c r="A67" t="s">
        <v>87</v>
      </c>
      <c r="B67" t="s">
        <v>88</v>
      </c>
      <c r="C67" t="s">
        <v>9</v>
      </c>
      <c r="D67" t="s">
        <v>10</v>
      </c>
      <c r="E67" t="s">
        <v>11</v>
      </c>
      <c r="F67">
        <v>5</v>
      </c>
      <c r="G67">
        <v>50</v>
      </c>
      <c r="H67">
        <v>250</v>
      </c>
    </row>
    <row r="68" spans="1:8" x14ac:dyDescent="0.25">
      <c r="A68" t="s">
        <v>95</v>
      </c>
      <c r="B68" t="s">
        <v>96</v>
      </c>
      <c r="C68" t="s">
        <v>29</v>
      </c>
      <c r="D68" t="s">
        <v>10</v>
      </c>
      <c r="E68" t="s">
        <v>11</v>
      </c>
      <c r="F68">
        <v>4</v>
      </c>
      <c r="G68">
        <v>45</v>
      </c>
      <c r="H68">
        <v>180</v>
      </c>
    </row>
    <row r="69" spans="1:8" x14ac:dyDescent="0.25">
      <c r="A69" t="s">
        <v>103</v>
      </c>
      <c r="B69" t="s">
        <v>104</v>
      </c>
      <c r="C69" t="s">
        <v>9</v>
      </c>
      <c r="D69" t="s">
        <v>10</v>
      </c>
      <c r="E69" t="s">
        <v>11</v>
      </c>
      <c r="F69">
        <v>2</v>
      </c>
      <c r="G69">
        <v>500</v>
      </c>
      <c r="H69">
        <v>1000</v>
      </c>
    </row>
    <row r="70" spans="1:8" x14ac:dyDescent="0.25">
      <c r="A70" t="s">
        <v>111</v>
      </c>
      <c r="B70" t="s">
        <v>112</v>
      </c>
      <c r="C70" t="s">
        <v>29</v>
      </c>
      <c r="D70" t="s">
        <v>10</v>
      </c>
      <c r="E70" t="s">
        <v>11</v>
      </c>
      <c r="F70">
        <v>3</v>
      </c>
      <c r="G70">
        <v>600</v>
      </c>
      <c r="H70">
        <v>1800</v>
      </c>
    </row>
    <row r="71" spans="1:8" x14ac:dyDescent="0.25">
      <c r="A71" t="s">
        <v>119</v>
      </c>
      <c r="B71" t="s">
        <v>120</v>
      </c>
      <c r="C71" t="s">
        <v>9</v>
      </c>
      <c r="D71" t="s">
        <v>10</v>
      </c>
      <c r="E71" t="s">
        <v>11</v>
      </c>
      <c r="F71">
        <v>1</v>
      </c>
      <c r="G71">
        <v>1000</v>
      </c>
      <c r="H71">
        <v>1000</v>
      </c>
    </row>
    <row r="72" spans="1:8" x14ac:dyDescent="0.25">
      <c r="A72" t="s">
        <v>127</v>
      </c>
      <c r="B72" t="s">
        <v>128</v>
      </c>
      <c r="C72" t="s">
        <v>29</v>
      </c>
      <c r="D72" t="s">
        <v>10</v>
      </c>
      <c r="E72" t="s">
        <v>11</v>
      </c>
      <c r="F72">
        <v>5</v>
      </c>
      <c r="G72">
        <v>50</v>
      </c>
      <c r="H72">
        <v>250</v>
      </c>
    </row>
    <row r="73" spans="1:8" x14ac:dyDescent="0.25">
      <c r="A73" t="s">
        <v>135</v>
      </c>
      <c r="B73" t="s">
        <v>136</v>
      </c>
      <c r="C73" t="s">
        <v>9</v>
      </c>
      <c r="D73" t="s">
        <v>10</v>
      </c>
      <c r="E73" t="s">
        <v>11</v>
      </c>
      <c r="F73">
        <v>4</v>
      </c>
      <c r="G73">
        <v>45</v>
      </c>
      <c r="H73">
        <v>180</v>
      </c>
    </row>
    <row r="74" spans="1:8" x14ac:dyDescent="0.25">
      <c r="A74" t="s">
        <v>143</v>
      </c>
      <c r="B74" t="s">
        <v>144</v>
      </c>
      <c r="C74" t="s">
        <v>29</v>
      </c>
      <c r="D74" t="s">
        <v>10</v>
      </c>
      <c r="E74" t="s">
        <v>11</v>
      </c>
      <c r="F74">
        <v>2</v>
      </c>
      <c r="G74">
        <v>500</v>
      </c>
      <c r="H74">
        <v>1000</v>
      </c>
    </row>
    <row r="75" spans="1:8" x14ac:dyDescent="0.25">
      <c r="A75" t="s">
        <v>151</v>
      </c>
      <c r="B75" t="s">
        <v>152</v>
      </c>
      <c r="C75" t="s">
        <v>9</v>
      </c>
      <c r="D75" t="s">
        <v>10</v>
      </c>
      <c r="E75" t="s">
        <v>11</v>
      </c>
      <c r="F75">
        <v>3</v>
      </c>
      <c r="G75">
        <v>600</v>
      </c>
      <c r="H75">
        <v>1800</v>
      </c>
    </row>
    <row r="76" spans="1:8" x14ac:dyDescent="0.25">
      <c r="A76" t="s">
        <v>159</v>
      </c>
      <c r="B76" t="s">
        <v>160</v>
      </c>
      <c r="C76" t="s">
        <v>29</v>
      </c>
      <c r="D76" t="s">
        <v>10</v>
      </c>
      <c r="E76" t="s">
        <v>11</v>
      </c>
      <c r="F76">
        <v>1</v>
      </c>
      <c r="G76">
        <v>1000</v>
      </c>
      <c r="H76">
        <v>1000</v>
      </c>
    </row>
    <row r="77" spans="1:8" x14ac:dyDescent="0.25">
      <c r="A77" t="s">
        <v>167</v>
      </c>
      <c r="B77" t="s">
        <v>168</v>
      </c>
      <c r="C77" t="s">
        <v>9</v>
      </c>
      <c r="D77" t="s">
        <v>10</v>
      </c>
      <c r="E77" t="s">
        <v>11</v>
      </c>
      <c r="F77">
        <v>5</v>
      </c>
      <c r="G77">
        <v>50</v>
      </c>
      <c r="H77">
        <v>250</v>
      </c>
    </row>
    <row r="78" spans="1:8" x14ac:dyDescent="0.25">
      <c r="A78" t="s">
        <v>175</v>
      </c>
      <c r="B78" t="s">
        <v>176</v>
      </c>
      <c r="C78" t="s">
        <v>29</v>
      </c>
      <c r="D78" t="s">
        <v>10</v>
      </c>
      <c r="E78" t="s">
        <v>11</v>
      </c>
      <c r="F78">
        <v>4</v>
      </c>
      <c r="G78">
        <v>45</v>
      </c>
      <c r="H78">
        <v>180</v>
      </c>
    </row>
    <row r="79" spans="1:8" x14ac:dyDescent="0.25">
      <c r="A79" t="s">
        <v>183</v>
      </c>
      <c r="B79" t="s">
        <v>184</v>
      </c>
      <c r="C79" t="s">
        <v>9</v>
      </c>
      <c r="D79" t="s">
        <v>10</v>
      </c>
      <c r="E79" t="s">
        <v>11</v>
      </c>
      <c r="F79">
        <v>2</v>
      </c>
      <c r="G79">
        <v>500</v>
      </c>
      <c r="H79">
        <v>1000</v>
      </c>
    </row>
    <row r="80" spans="1:8" x14ac:dyDescent="0.25">
      <c r="A80" t="s">
        <v>191</v>
      </c>
      <c r="B80" t="s">
        <v>192</v>
      </c>
      <c r="C80" t="s">
        <v>29</v>
      </c>
      <c r="D80" t="s">
        <v>10</v>
      </c>
      <c r="E80" t="s">
        <v>11</v>
      </c>
      <c r="F80">
        <v>3</v>
      </c>
      <c r="G80">
        <v>600</v>
      </c>
      <c r="H80">
        <v>1800</v>
      </c>
    </row>
    <row r="81" spans="1:8" x14ac:dyDescent="0.25">
      <c r="A81" t="s">
        <v>199</v>
      </c>
      <c r="B81" t="s">
        <v>200</v>
      </c>
      <c r="C81" t="s">
        <v>9</v>
      </c>
      <c r="D81" t="s">
        <v>10</v>
      </c>
      <c r="E81" t="s">
        <v>11</v>
      </c>
      <c r="F81">
        <v>1</v>
      </c>
      <c r="G81">
        <v>1000</v>
      </c>
      <c r="H81">
        <v>1000</v>
      </c>
    </row>
    <row r="82" spans="1:8" x14ac:dyDescent="0.25">
      <c r="A82" t="s">
        <v>207</v>
      </c>
      <c r="B82" t="s">
        <v>208</v>
      </c>
      <c r="C82" t="s">
        <v>29</v>
      </c>
      <c r="D82" t="s">
        <v>10</v>
      </c>
      <c r="E82" t="s">
        <v>11</v>
      </c>
      <c r="F82">
        <v>5</v>
      </c>
      <c r="G82">
        <v>50</v>
      </c>
      <c r="H82">
        <v>250</v>
      </c>
    </row>
    <row r="83" spans="1:8" x14ac:dyDescent="0.25">
      <c r="A83" t="s">
        <v>215</v>
      </c>
      <c r="B83" t="s">
        <v>216</v>
      </c>
      <c r="C83" t="s">
        <v>9</v>
      </c>
      <c r="D83" t="s">
        <v>10</v>
      </c>
      <c r="E83" t="s">
        <v>11</v>
      </c>
      <c r="F83">
        <v>4</v>
      </c>
      <c r="G83">
        <v>45</v>
      </c>
      <c r="H83">
        <v>180</v>
      </c>
    </row>
    <row r="84" spans="1:8" x14ac:dyDescent="0.25">
      <c r="A84" t="s">
        <v>223</v>
      </c>
      <c r="B84" t="s">
        <v>224</v>
      </c>
      <c r="C84" t="s">
        <v>29</v>
      </c>
      <c r="D84" t="s">
        <v>10</v>
      </c>
      <c r="E84" t="s">
        <v>11</v>
      </c>
      <c r="F84">
        <v>2</v>
      </c>
      <c r="G84">
        <v>500</v>
      </c>
      <c r="H84">
        <v>1000</v>
      </c>
    </row>
    <row r="85" spans="1:8" x14ac:dyDescent="0.25">
      <c r="A85" t="s">
        <v>231</v>
      </c>
      <c r="B85" t="s">
        <v>232</v>
      </c>
      <c r="C85" t="s">
        <v>9</v>
      </c>
      <c r="D85" t="s">
        <v>10</v>
      </c>
      <c r="E85" t="s">
        <v>11</v>
      </c>
      <c r="F85">
        <v>3</v>
      </c>
      <c r="G85">
        <v>600</v>
      </c>
      <c r="H85">
        <v>1800</v>
      </c>
    </row>
    <row r="86" spans="1:8" x14ac:dyDescent="0.25">
      <c r="A86" t="s">
        <v>239</v>
      </c>
      <c r="B86" t="s">
        <v>240</v>
      </c>
      <c r="C86" t="s">
        <v>29</v>
      </c>
      <c r="D86" t="s">
        <v>10</v>
      </c>
      <c r="E86" t="s">
        <v>11</v>
      </c>
      <c r="F86">
        <v>1</v>
      </c>
      <c r="G86">
        <v>1000</v>
      </c>
      <c r="H86">
        <v>1000</v>
      </c>
    </row>
    <row r="87" spans="1:8" x14ac:dyDescent="0.25">
      <c r="A87" t="s">
        <v>247</v>
      </c>
      <c r="B87" t="s">
        <v>248</v>
      </c>
      <c r="C87" t="s">
        <v>9</v>
      </c>
      <c r="D87" t="s">
        <v>10</v>
      </c>
      <c r="E87" t="s">
        <v>11</v>
      </c>
      <c r="F87">
        <v>5</v>
      </c>
      <c r="G87">
        <v>50</v>
      </c>
      <c r="H87">
        <v>250</v>
      </c>
    </row>
    <row r="88" spans="1:8" x14ac:dyDescent="0.25">
      <c r="A88" t="s">
        <v>255</v>
      </c>
      <c r="B88" t="s">
        <v>256</v>
      </c>
      <c r="C88" t="s">
        <v>29</v>
      </c>
      <c r="D88" t="s">
        <v>10</v>
      </c>
      <c r="E88" t="s">
        <v>11</v>
      </c>
      <c r="F88">
        <v>4</v>
      </c>
      <c r="G88">
        <v>45</v>
      </c>
      <c r="H88">
        <v>180</v>
      </c>
    </row>
    <row r="89" spans="1:8" x14ac:dyDescent="0.25">
      <c r="A89" t="s">
        <v>263</v>
      </c>
      <c r="B89" t="s">
        <v>264</v>
      </c>
      <c r="C89" t="s">
        <v>9</v>
      </c>
      <c r="D89" t="s">
        <v>10</v>
      </c>
      <c r="E89" t="s">
        <v>11</v>
      </c>
      <c r="F89">
        <v>2</v>
      </c>
      <c r="G89">
        <v>500</v>
      </c>
      <c r="H89">
        <v>1000</v>
      </c>
    </row>
    <row r="90" spans="1:8" x14ac:dyDescent="0.25">
      <c r="A90" t="s">
        <v>271</v>
      </c>
      <c r="B90" t="s">
        <v>272</v>
      </c>
      <c r="C90" t="s">
        <v>29</v>
      </c>
      <c r="D90" t="s">
        <v>10</v>
      </c>
      <c r="E90" t="s">
        <v>11</v>
      </c>
      <c r="F90">
        <v>3</v>
      </c>
      <c r="G90">
        <v>600</v>
      </c>
      <c r="H90">
        <v>1800</v>
      </c>
    </row>
    <row r="91" spans="1:8" x14ac:dyDescent="0.25">
      <c r="A91" t="s">
        <v>279</v>
      </c>
      <c r="B91" t="s">
        <v>280</v>
      </c>
      <c r="C91" t="s">
        <v>9</v>
      </c>
      <c r="D91" t="s">
        <v>10</v>
      </c>
      <c r="E91" t="s">
        <v>11</v>
      </c>
      <c r="F91">
        <v>1</v>
      </c>
      <c r="G91">
        <v>1000</v>
      </c>
      <c r="H91">
        <v>1000</v>
      </c>
    </row>
    <row r="92" spans="1:8" x14ac:dyDescent="0.25">
      <c r="A92" t="s">
        <v>287</v>
      </c>
      <c r="B92" t="s">
        <v>288</v>
      </c>
      <c r="C92" t="s">
        <v>29</v>
      </c>
      <c r="D92" t="s">
        <v>10</v>
      </c>
      <c r="E92" t="s">
        <v>11</v>
      </c>
      <c r="F92">
        <v>5</v>
      </c>
      <c r="G92">
        <v>50</v>
      </c>
      <c r="H92">
        <v>250</v>
      </c>
    </row>
    <row r="93" spans="1:8" x14ac:dyDescent="0.25">
      <c r="A93" t="s">
        <v>295</v>
      </c>
      <c r="B93" t="s">
        <v>296</v>
      </c>
      <c r="C93" t="s">
        <v>9</v>
      </c>
      <c r="D93" t="s">
        <v>10</v>
      </c>
      <c r="E93" t="s">
        <v>11</v>
      </c>
      <c r="F93">
        <v>4</v>
      </c>
      <c r="G93">
        <v>45</v>
      </c>
      <c r="H93">
        <v>180</v>
      </c>
    </row>
    <row r="94" spans="1:8" x14ac:dyDescent="0.25">
      <c r="A94" t="s">
        <v>303</v>
      </c>
      <c r="B94" t="s">
        <v>304</v>
      </c>
      <c r="C94" t="s">
        <v>29</v>
      </c>
      <c r="D94" t="s">
        <v>10</v>
      </c>
      <c r="E94" t="s">
        <v>11</v>
      </c>
      <c r="F94">
        <v>2</v>
      </c>
      <c r="G94">
        <v>500</v>
      </c>
      <c r="H94">
        <v>1000</v>
      </c>
    </row>
    <row r="95" spans="1:8" x14ac:dyDescent="0.25">
      <c r="A95" t="s">
        <v>311</v>
      </c>
      <c r="B95" t="s">
        <v>312</v>
      </c>
      <c r="C95" t="s">
        <v>9</v>
      </c>
      <c r="D95" t="s">
        <v>10</v>
      </c>
      <c r="E95" t="s">
        <v>11</v>
      </c>
      <c r="F95">
        <v>3</v>
      </c>
      <c r="G95">
        <v>600</v>
      </c>
      <c r="H95">
        <v>1800</v>
      </c>
    </row>
    <row r="96" spans="1:8" x14ac:dyDescent="0.25">
      <c r="A96" t="s">
        <v>319</v>
      </c>
      <c r="B96" t="s">
        <v>320</v>
      </c>
      <c r="C96" t="s">
        <v>29</v>
      </c>
      <c r="D96" t="s">
        <v>10</v>
      </c>
      <c r="E96" t="s">
        <v>11</v>
      </c>
      <c r="F96">
        <v>1</v>
      </c>
      <c r="G96">
        <v>1000</v>
      </c>
      <c r="H96">
        <v>1000</v>
      </c>
    </row>
    <row r="97" spans="1:8" x14ac:dyDescent="0.25">
      <c r="A97" t="s">
        <v>327</v>
      </c>
      <c r="B97" t="s">
        <v>328</v>
      </c>
      <c r="C97" t="s">
        <v>9</v>
      </c>
      <c r="D97" t="s">
        <v>10</v>
      </c>
      <c r="E97" t="s">
        <v>11</v>
      </c>
      <c r="F97">
        <v>5</v>
      </c>
      <c r="G97">
        <v>50</v>
      </c>
      <c r="H97">
        <v>250</v>
      </c>
    </row>
    <row r="98" spans="1:8" x14ac:dyDescent="0.25">
      <c r="A98" t="s">
        <v>335</v>
      </c>
      <c r="B98" t="s">
        <v>336</v>
      </c>
      <c r="C98" t="s">
        <v>29</v>
      </c>
      <c r="D98" t="s">
        <v>10</v>
      </c>
      <c r="E98" t="s">
        <v>11</v>
      </c>
      <c r="F98">
        <v>4</v>
      </c>
      <c r="G98">
        <v>45</v>
      </c>
      <c r="H98">
        <v>180</v>
      </c>
    </row>
    <row r="99" spans="1:8" x14ac:dyDescent="0.25">
      <c r="A99" t="s">
        <v>343</v>
      </c>
      <c r="B99" t="s">
        <v>344</v>
      </c>
      <c r="C99" t="s">
        <v>9</v>
      </c>
      <c r="D99" t="s">
        <v>10</v>
      </c>
      <c r="E99" t="s">
        <v>11</v>
      </c>
      <c r="F99">
        <v>2</v>
      </c>
      <c r="G99">
        <v>500</v>
      </c>
      <c r="H99">
        <v>1000</v>
      </c>
    </row>
    <row r="100" spans="1:8" x14ac:dyDescent="0.25">
      <c r="A100" t="s">
        <v>351</v>
      </c>
      <c r="B100" t="s">
        <v>352</v>
      </c>
      <c r="C100" t="s">
        <v>29</v>
      </c>
      <c r="D100" t="s">
        <v>10</v>
      </c>
      <c r="E100" t="s">
        <v>11</v>
      </c>
      <c r="F100">
        <v>3</v>
      </c>
      <c r="G100">
        <v>600</v>
      </c>
      <c r="H100">
        <v>1800</v>
      </c>
    </row>
    <row r="101" spans="1:8" x14ac:dyDescent="0.25">
      <c r="A101" t="s">
        <v>359</v>
      </c>
      <c r="B101" t="s">
        <v>360</v>
      </c>
      <c r="C101" t="s">
        <v>9</v>
      </c>
      <c r="D101" t="s">
        <v>10</v>
      </c>
      <c r="E101" t="s">
        <v>11</v>
      </c>
      <c r="F101">
        <v>1</v>
      </c>
      <c r="G101">
        <v>1000</v>
      </c>
      <c r="H101">
        <v>1000</v>
      </c>
    </row>
    <row r="102" spans="1:8" x14ac:dyDescent="0.25">
      <c r="A102" t="s">
        <v>367</v>
      </c>
      <c r="B102" t="s">
        <v>368</v>
      </c>
      <c r="C102" t="s">
        <v>29</v>
      </c>
      <c r="D102" t="s">
        <v>10</v>
      </c>
      <c r="E102" t="s">
        <v>11</v>
      </c>
      <c r="F102">
        <v>5</v>
      </c>
      <c r="G102">
        <v>50</v>
      </c>
      <c r="H102">
        <v>250</v>
      </c>
    </row>
    <row r="103" spans="1:8" x14ac:dyDescent="0.25">
      <c r="A103" t="s">
        <v>375</v>
      </c>
      <c r="B103" t="s">
        <v>376</v>
      </c>
      <c r="C103" t="s">
        <v>9</v>
      </c>
      <c r="D103" t="s">
        <v>10</v>
      </c>
      <c r="E103" t="s">
        <v>11</v>
      </c>
      <c r="F103">
        <v>4</v>
      </c>
      <c r="G103">
        <v>45</v>
      </c>
      <c r="H103">
        <v>180</v>
      </c>
    </row>
    <row r="104" spans="1:8" x14ac:dyDescent="0.25">
      <c r="A104" t="s">
        <v>383</v>
      </c>
      <c r="B104" t="s">
        <v>384</v>
      </c>
      <c r="C104" t="s">
        <v>29</v>
      </c>
      <c r="D104" t="s">
        <v>10</v>
      </c>
      <c r="E104" t="s">
        <v>11</v>
      </c>
      <c r="F104">
        <v>2</v>
      </c>
      <c r="G104">
        <v>500</v>
      </c>
      <c r="H104">
        <v>1000</v>
      </c>
    </row>
    <row r="105" spans="1:8" x14ac:dyDescent="0.25">
      <c r="A105" t="s">
        <v>391</v>
      </c>
      <c r="B105" t="s">
        <v>392</v>
      </c>
      <c r="C105" t="s">
        <v>9</v>
      </c>
      <c r="D105" t="s">
        <v>10</v>
      </c>
      <c r="E105" t="s">
        <v>11</v>
      </c>
      <c r="F105">
        <v>3</v>
      </c>
      <c r="G105">
        <v>600</v>
      </c>
      <c r="H105">
        <v>1800</v>
      </c>
    </row>
    <row r="106" spans="1:8" x14ac:dyDescent="0.25">
      <c r="A106" t="s">
        <v>399</v>
      </c>
      <c r="B106" t="s">
        <v>400</v>
      </c>
      <c r="C106" t="s">
        <v>29</v>
      </c>
      <c r="D106" t="s">
        <v>10</v>
      </c>
      <c r="E106" t="s">
        <v>11</v>
      </c>
      <c r="F106">
        <v>1</v>
      </c>
      <c r="G106">
        <v>1000</v>
      </c>
      <c r="H106">
        <v>1000</v>
      </c>
    </row>
    <row r="107" spans="1:8" x14ac:dyDescent="0.25">
      <c r="A107" t="s">
        <v>407</v>
      </c>
      <c r="B107" t="s">
        <v>408</v>
      </c>
      <c r="C107" t="s">
        <v>9</v>
      </c>
      <c r="D107" t="s">
        <v>10</v>
      </c>
      <c r="E107" t="s">
        <v>11</v>
      </c>
      <c r="F107">
        <v>5</v>
      </c>
      <c r="G107">
        <v>50</v>
      </c>
      <c r="H107">
        <v>250</v>
      </c>
    </row>
    <row r="108" spans="1:8" x14ac:dyDescent="0.25">
      <c r="A108" t="s">
        <v>415</v>
      </c>
      <c r="B108" t="s">
        <v>416</v>
      </c>
      <c r="C108" t="s">
        <v>29</v>
      </c>
      <c r="D108" t="s">
        <v>10</v>
      </c>
      <c r="E108" t="s">
        <v>11</v>
      </c>
      <c r="F108">
        <v>4</v>
      </c>
      <c r="G108">
        <v>45</v>
      </c>
      <c r="H108">
        <v>180</v>
      </c>
    </row>
    <row r="109" spans="1:8" x14ac:dyDescent="0.25">
      <c r="A109" t="s">
        <v>423</v>
      </c>
      <c r="B109" t="s">
        <v>424</v>
      </c>
      <c r="C109" t="s">
        <v>9</v>
      </c>
      <c r="D109" t="s">
        <v>10</v>
      </c>
      <c r="E109" t="s">
        <v>11</v>
      </c>
      <c r="F109">
        <v>2</v>
      </c>
      <c r="G109">
        <v>500</v>
      </c>
      <c r="H109">
        <v>1000</v>
      </c>
    </row>
    <row r="110" spans="1:8" x14ac:dyDescent="0.25">
      <c r="A110" t="s">
        <v>431</v>
      </c>
      <c r="B110" t="s">
        <v>432</v>
      </c>
      <c r="C110" t="s">
        <v>29</v>
      </c>
      <c r="D110" t="s">
        <v>10</v>
      </c>
      <c r="E110" t="s">
        <v>11</v>
      </c>
      <c r="F110">
        <v>3</v>
      </c>
      <c r="G110">
        <v>600</v>
      </c>
      <c r="H110">
        <v>1800</v>
      </c>
    </row>
    <row r="111" spans="1:8" x14ac:dyDescent="0.25">
      <c r="A111" t="s">
        <v>439</v>
      </c>
      <c r="B111" t="s">
        <v>440</v>
      </c>
      <c r="C111" t="s">
        <v>9</v>
      </c>
      <c r="D111" t="s">
        <v>10</v>
      </c>
      <c r="E111" t="s">
        <v>11</v>
      </c>
      <c r="F111">
        <v>1</v>
      </c>
      <c r="G111">
        <v>1000</v>
      </c>
      <c r="H111">
        <v>1000</v>
      </c>
    </row>
    <row r="112" spans="1:8" x14ac:dyDescent="0.25">
      <c r="A112" t="s">
        <v>447</v>
      </c>
      <c r="B112" t="s">
        <v>448</v>
      </c>
      <c r="C112" t="s">
        <v>29</v>
      </c>
      <c r="D112" t="s">
        <v>10</v>
      </c>
      <c r="E112" t="s">
        <v>11</v>
      </c>
      <c r="F112">
        <v>5</v>
      </c>
      <c r="G112">
        <v>50</v>
      </c>
      <c r="H112">
        <v>250</v>
      </c>
    </row>
    <row r="113" spans="1:8" x14ac:dyDescent="0.25">
      <c r="A113" t="s">
        <v>455</v>
      </c>
      <c r="B113" t="s">
        <v>456</v>
      </c>
      <c r="C113" t="s">
        <v>9</v>
      </c>
      <c r="D113" t="s">
        <v>10</v>
      </c>
      <c r="E113" t="s">
        <v>11</v>
      </c>
      <c r="F113">
        <v>4</v>
      </c>
      <c r="G113">
        <v>45</v>
      </c>
      <c r="H113">
        <v>180</v>
      </c>
    </row>
    <row r="114" spans="1:8" x14ac:dyDescent="0.25">
      <c r="A114" t="s">
        <v>463</v>
      </c>
      <c r="B114" t="s">
        <v>464</v>
      </c>
      <c r="C114" t="s">
        <v>29</v>
      </c>
      <c r="D114" t="s">
        <v>10</v>
      </c>
      <c r="E114" t="s">
        <v>11</v>
      </c>
      <c r="F114">
        <v>2</v>
      </c>
      <c r="G114">
        <v>500</v>
      </c>
      <c r="H114">
        <v>1000</v>
      </c>
    </row>
    <row r="115" spans="1:8" x14ac:dyDescent="0.25">
      <c r="A115" t="s">
        <v>471</v>
      </c>
      <c r="B115" t="s">
        <v>472</v>
      </c>
      <c r="C115" t="s">
        <v>9</v>
      </c>
      <c r="D115" t="s">
        <v>10</v>
      </c>
      <c r="E115" t="s">
        <v>11</v>
      </c>
      <c r="F115">
        <v>3</v>
      </c>
      <c r="G115">
        <v>600</v>
      </c>
      <c r="H115">
        <v>1800</v>
      </c>
    </row>
    <row r="116" spans="1:8" x14ac:dyDescent="0.25">
      <c r="A116" t="s">
        <v>479</v>
      </c>
      <c r="B116" t="s">
        <v>480</v>
      </c>
      <c r="C116" t="s">
        <v>29</v>
      </c>
      <c r="D116" t="s">
        <v>10</v>
      </c>
      <c r="E116" t="s">
        <v>11</v>
      </c>
      <c r="F116">
        <v>1</v>
      </c>
      <c r="G116">
        <v>1000</v>
      </c>
      <c r="H116">
        <v>1000</v>
      </c>
    </row>
    <row r="117" spans="1:8" x14ac:dyDescent="0.25">
      <c r="A117" t="s">
        <v>12</v>
      </c>
      <c r="B117" t="s">
        <v>13</v>
      </c>
      <c r="C117" t="s">
        <v>14</v>
      </c>
      <c r="D117" t="s">
        <v>15</v>
      </c>
      <c r="E117" t="s">
        <v>16</v>
      </c>
      <c r="F117">
        <v>1</v>
      </c>
      <c r="G117">
        <v>800</v>
      </c>
      <c r="H117">
        <v>800</v>
      </c>
    </row>
    <row r="118" spans="1:8" x14ac:dyDescent="0.25">
      <c r="A118" t="s">
        <v>30</v>
      </c>
      <c r="B118" t="s">
        <v>31</v>
      </c>
      <c r="C118" t="s">
        <v>32</v>
      </c>
      <c r="D118" t="s">
        <v>15</v>
      </c>
      <c r="E118" t="s">
        <v>16</v>
      </c>
      <c r="F118">
        <v>2</v>
      </c>
      <c r="G118">
        <v>700</v>
      </c>
      <c r="H118">
        <v>1400</v>
      </c>
    </row>
    <row r="119" spans="1:8" x14ac:dyDescent="0.25">
      <c r="A119" t="s">
        <v>41</v>
      </c>
      <c r="B119" t="s">
        <v>42</v>
      </c>
      <c r="C119" t="s">
        <v>14</v>
      </c>
      <c r="D119" t="s">
        <v>15</v>
      </c>
      <c r="E119" t="s">
        <v>16</v>
      </c>
      <c r="F119">
        <v>2</v>
      </c>
      <c r="G119">
        <v>750</v>
      </c>
      <c r="H119">
        <v>1500</v>
      </c>
    </row>
    <row r="120" spans="1:8" x14ac:dyDescent="0.25">
      <c r="A120" t="s">
        <v>49</v>
      </c>
      <c r="B120" t="s">
        <v>50</v>
      </c>
      <c r="C120" t="s">
        <v>32</v>
      </c>
      <c r="D120" t="s">
        <v>15</v>
      </c>
      <c r="E120" t="s">
        <v>16</v>
      </c>
      <c r="F120">
        <v>10</v>
      </c>
      <c r="G120">
        <v>20</v>
      </c>
      <c r="H120">
        <v>200</v>
      </c>
    </row>
    <row r="121" spans="1:8" x14ac:dyDescent="0.25">
      <c r="A121" t="s">
        <v>57</v>
      </c>
      <c r="B121" t="s">
        <v>58</v>
      </c>
      <c r="C121" t="s">
        <v>14</v>
      </c>
      <c r="D121" t="s">
        <v>15</v>
      </c>
      <c r="E121" t="s">
        <v>16</v>
      </c>
      <c r="F121">
        <v>8</v>
      </c>
      <c r="G121">
        <v>25</v>
      </c>
      <c r="H121">
        <v>200</v>
      </c>
    </row>
    <row r="122" spans="1:8" x14ac:dyDescent="0.25">
      <c r="A122" t="s">
        <v>65</v>
      </c>
      <c r="B122" t="s">
        <v>66</v>
      </c>
      <c r="C122" t="s">
        <v>32</v>
      </c>
      <c r="D122" t="s">
        <v>15</v>
      </c>
      <c r="E122" t="s">
        <v>16</v>
      </c>
      <c r="F122">
        <v>1</v>
      </c>
      <c r="G122">
        <v>800</v>
      </c>
      <c r="H122">
        <v>800</v>
      </c>
    </row>
    <row r="123" spans="1:8" x14ac:dyDescent="0.25">
      <c r="A123" t="s">
        <v>73</v>
      </c>
      <c r="B123" t="s">
        <v>74</v>
      </c>
      <c r="C123" t="s">
        <v>14</v>
      </c>
      <c r="D123" t="s">
        <v>15</v>
      </c>
      <c r="E123" t="s">
        <v>16</v>
      </c>
      <c r="F123">
        <v>2</v>
      </c>
      <c r="G123">
        <v>700</v>
      </c>
      <c r="H123">
        <v>1400</v>
      </c>
    </row>
    <row r="124" spans="1:8" x14ac:dyDescent="0.25">
      <c r="A124" t="s">
        <v>81</v>
      </c>
      <c r="B124" t="s">
        <v>82</v>
      </c>
      <c r="C124" t="s">
        <v>32</v>
      </c>
      <c r="D124" t="s">
        <v>15</v>
      </c>
      <c r="E124" t="s">
        <v>16</v>
      </c>
      <c r="F124">
        <v>2</v>
      </c>
      <c r="G124">
        <v>750</v>
      </c>
      <c r="H124">
        <v>1500</v>
      </c>
    </row>
    <row r="125" spans="1:8" x14ac:dyDescent="0.25">
      <c r="A125" t="s">
        <v>89</v>
      </c>
      <c r="B125" t="s">
        <v>90</v>
      </c>
      <c r="C125" t="s">
        <v>14</v>
      </c>
      <c r="D125" t="s">
        <v>15</v>
      </c>
      <c r="E125" t="s">
        <v>16</v>
      </c>
      <c r="F125">
        <v>10</v>
      </c>
      <c r="G125">
        <v>20</v>
      </c>
      <c r="H125">
        <v>200</v>
      </c>
    </row>
    <row r="126" spans="1:8" x14ac:dyDescent="0.25">
      <c r="A126" t="s">
        <v>97</v>
      </c>
      <c r="B126" t="s">
        <v>98</v>
      </c>
      <c r="C126" t="s">
        <v>32</v>
      </c>
      <c r="D126" t="s">
        <v>15</v>
      </c>
      <c r="E126" t="s">
        <v>16</v>
      </c>
      <c r="F126">
        <v>8</v>
      </c>
      <c r="G126">
        <v>25</v>
      </c>
      <c r="H126">
        <v>200</v>
      </c>
    </row>
    <row r="127" spans="1:8" x14ac:dyDescent="0.25">
      <c r="A127" t="s">
        <v>105</v>
      </c>
      <c r="B127" t="s">
        <v>106</v>
      </c>
      <c r="C127" t="s">
        <v>14</v>
      </c>
      <c r="D127" t="s">
        <v>15</v>
      </c>
      <c r="E127" t="s">
        <v>16</v>
      </c>
      <c r="F127">
        <v>1</v>
      </c>
      <c r="G127">
        <v>800</v>
      </c>
      <c r="H127">
        <v>800</v>
      </c>
    </row>
    <row r="128" spans="1:8" x14ac:dyDescent="0.25">
      <c r="A128" t="s">
        <v>113</v>
      </c>
      <c r="B128" t="s">
        <v>114</v>
      </c>
      <c r="C128" t="s">
        <v>32</v>
      </c>
      <c r="D128" t="s">
        <v>15</v>
      </c>
      <c r="E128" t="s">
        <v>16</v>
      </c>
      <c r="F128">
        <v>2</v>
      </c>
      <c r="G128">
        <v>700</v>
      </c>
      <c r="H128">
        <v>1400</v>
      </c>
    </row>
    <row r="129" spans="1:8" x14ac:dyDescent="0.25">
      <c r="A129" t="s">
        <v>121</v>
      </c>
      <c r="B129" t="s">
        <v>122</v>
      </c>
      <c r="C129" t="s">
        <v>14</v>
      </c>
      <c r="D129" t="s">
        <v>15</v>
      </c>
      <c r="E129" t="s">
        <v>16</v>
      </c>
      <c r="F129">
        <v>2</v>
      </c>
      <c r="G129">
        <v>750</v>
      </c>
      <c r="H129">
        <v>1500</v>
      </c>
    </row>
    <row r="130" spans="1:8" x14ac:dyDescent="0.25">
      <c r="A130" t="s">
        <v>129</v>
      </c>
      <c r="B130" t="s">
        <v>130</v>
      </c>
      <c r="C130" t="s">
        <v>32</v>
      </c>
      <c r="D130" t="s">
        <v>15</v>
      </c>
      <c r="E130" t="s">
        <v>16</v>
      </c>
      <c r="F130">
        <v>10</v>
      </c>
      <c r="G130">
        <v>20</v>
      </c>
      <c r="H130">
        <v>200</v>
      </c>
    </row>
    <row r="131" spans="1:8" x14ac:dyDescent="0.25">
      <c r="A131" t="s">
        <v>137</v>
      </c>
      <c r="B131" t="s">
        <v>138</v>
      </c>
      <c r="C131" t="s">
        <v>14</v>
      </c>
      <c r="D131" t="s">
        <v>15</v>
      </c>
      <c r="E131" t="s">
        <v>16</v>
      </c>
      <c r="F131">
        <v>8</v>
      </c>
      <c r="G131">
        <v>25</v>
      </c>
      <c r="H131">
        <v>200</v>
      </c>
    </row>
    <row r="132" spans="1:8" x14ac:dyDescent="0.25">
      <c r="A132" t="s">
        <v>145</v>
      </c>
      <c r="B132" t="s">
        <v>146</v>
      </c>
      <c r="C132" t="s">
        <v>32</v>
      </c>
      <c r="D132" t="s">
        <v>15</v>
      </c>
      <c r="E132" t="s">
        <v>16</v>
      </c>
      <c r="F132">
        <v>1</v>
      </c>
      <c r="G132">
        <v>800</v>
      </c>
      <c r="H132">
        <v>800</v>
      </c>
    </row>
    <row r="133" spans="1:8" x14ac:dyDescent="0.25">
      <c r="A133" t="s">
        <v>153</v>
      </c>
      <c r="B133" t="s">
        <v>154</v>
      </c>
      <c r="C133" t="s">
        <v>14</v>
      </c>
      <c r="D133" t="s">
        <v>15</v>
      </c>
      <c r="E133" t="s">
        <v>16</v>
      </c>
      <c r="F133">
        <v>2</v>
      </c>
      <c r="G133">
        <v>700</v>
      </c>
      <c r="H133">
        <v>1400</v>
      </c>
    </row>
    <row r="134" spans="1:8" x14ac:dyDescent="0.25">
      <c r="A134" t="s">
        <v>161</v>
      </c>
      <c r="B134" t="s">
        <v>162</v>
      </c>
      <c r="C134" t="s">
        <v>32</v>
      </c>
      <c r="D134" t="s">
        <v>15</v>
      </c>
      <c r="E134" t="s">
        <v>16</v>
      </c>
      <c r="F134">
        <v>2</v>
      </c>
      <c r="G134">
        <v>750</v>
      </c>
      <c r="H134">
        <v>1500</v>
      </c>
    </row>
    <row r="135" spans="1:8" x14ac:dyDescent="0.25">
      <c r="A135" t="s">
        <v>169</v>
      </c>
      <c r="B135" t="s">
        <v>170</v>
      </c>
      <c r="C135" t="s">
        <v>14</v>
      </c>
      <c r="D135" t="s">
        <v>15</v>
      </c>
      <c r="E135" t="s">
        <v>16</v>
      </c>
      <c r="F135">
        <v>10</v>
      </c>
      <c r="G135">
        <v>20</v>
      </c>
      <c r="H135">
        <v>200</v>
      </c>
    </row>
    <row r="136" spans="1:8" x14ac:dyDescent="0.25">
      <c r="A136" t="s">
        <v>177</v>
      </c>
      <c r="B136" t="s">
        <v>178</v>
      </c>
      <c r="C136" t="s">
        <v>32</v>
      </c>
      <c r="D136" t="s">
        <v>15</v>
      </c>
      <c r="E136" t="s">
        <v>16</v>
      </c>
      <c r="F136">
        <v>8</v>
      </c>
      <c r="G136">
        <v>25</v>
      </c>
      <c r="H136">
        <v>200</v>
      </c>
    </row>
    <row r="137" spans="1:8" x14ac:dyDescent="0.25">
      <c r="A137" t="s">
        <v>185</v>
      </c>
      <c r="B137" t="s">
        <v>186</v>
      </c>
      <c r="C137" t="s">
        <v>14</v>
      </c>
      <c r="D137" t="s">
        <v>15</v>
      </c>
      <c r="E137" t="s">
        <v>16</v>
      </c>
      <c r="F137">
        <v>1</v>
      </c>
      <c r="G137">
        <v>800</v>
      </c>
      <c r="H137">
        <v>800</v>
      </c>
    </row>
    <row r="138" spans="1:8" x14ac:dyDescent="0.25">
      <c r="A138" t="s">
        <v>193</v>
      </c>
      <c r="B138" t="s">
        <v>194</v>
      </c>
      <c r="C138" t="s">
        <v>32</v>
      </c>
      <c r="D138" t="s">
        <v>15</v>
      </c>
      <c r="E138" t="s">
        <v>16</v>
      </c>
      <c r="F138">
        <v>2</v>
      </c>
      <c r="G138">
        <v>700</v>
      </c>
      <c r="H138">
        <v>1400</v>
      </c>
    </row>
    <row r="139" spans="1:8" x14ac:dyDescent="0.25">
      <c r="A139" t="s">
        <v>201</v>
      </c>
      <c r="B139" t="s">
        <v>202</v>
      </c>
      <c r="C139" t="s">
        <v>14</v>
      </c>
      <c r="D139" t="s">
        <v>15</v>
      </c>
      <c r="E139" t="s">
        <v>16</v>
      </c>
      <c r="F139">
        <v>2</v>
      </c>
      <c r="G139">
        <v>750</v>
      </c>
      <c r="H139">
        <v>1500</v>
      </c>
    </row>
    <row r="140" spans="1:8" x14ac:dyDescent="0.25">
      <c r="A140" t="s">
        <v>209</v>
      </c>
      <c r="B140" t="s">
        <v>210</v>
      </c>
      <c r="C140" t="s">
        <v>32</v>
      </c>
      <c r="D140" t="s">
        <v>15</v>
      </c>
      <c r="E140" t="s">
        <v>16</v>
      </c>
      <c r="F140">
        <v>10</v>
      </c>
      <c r="G140">
        <v>20</v>
      </c>
      <c r="H140">
        <v>200</v>
      </c>
    </row>
    <row r="141" spans="1:8" x14ac:dyDescent="0.25">
      <c r="A141" t="s">
        <v>217</v>
      </c>
      <c r="B141" t="s">
        <v>218</v>
      </c>
      <c r="C141" t="s">
        <v>14</v>
      </c>
      <c r="D141" t="s">
        <v>15</v>
      </c>
      <c r="E141" t="s">
        <v>16</v>
      </c>
      <c r="F141">
        <v>8</v>
      </c>
      <c r="G141">
        <v>25</v>
      </c>
      <c r="H141">
        <v>200</v>
      </c>
    </row>
    <row r="142" spans="1:8" x14ac:dyDescent="0.25">
      <c r="A142" t="s">
        <v>225</v>
      </c>
      <c r="B142" t="s">
        <v>226</v>
      </c>
      <c r="C142" t="s">
        <v>32</v>
      </c>
      <c r="D142" t="s">
        <v>15</v>
      </c>
      <c r="E142" t="s">
        <v>16</v>
      </c>
      <c r="F142">
        <v>1</v>
      </c>
      <c r="G142">
        <v>800</v>
      </c>
      <c r="H142">
        <v>800</v>
      </c>
    </row>
    <row r="143" spans="1:8" x14ac:dyDescent="0.25">
      <c r="A143" t="s">
        <v>233</v>
      </c>
      <c r="B143" t="s">
        <v>234</v>
      </c>
      <c r="C143" t="s">
        <v>14</v>
      </c>
      <c r="D143" t="s">
        <v>15</v>
      </c>
      <c r="E143" t="s">
        <v>16</v>
      </c>
      <c r="F143">
        <v>2</v>
      </c>
      <c r="G143">
        <v>700</v>
      </c>
      <c r="H143">
        <v>1400</v>
      </c>
    </row>
    <row r="144" spans="1:8" x14ac:dyDescent="0.25">
      <c r="A144" t="s">
        <v>241</v>
      </c>
      <c r="B144" t="s">
        <v>242</v>
      </c>
      <c r="C144" t="s">
        <v>32</v>
      </c>
      <c r="D144" t="s">
        <v>15</v>
      </c>
      <c r="E144" t="s">
        <v>16</v>
      </c>
      <c r="F144">
        <v>2</v>
      </c>
      <c r="G144">
        <v>750</v>
      </c>
      <c r="H144">
        <v>1500</v>
      </c>
    </row>
    <row r="145" spans="1:8" x14ac:dyDescent="0.25">
      <c r="A145" t="s">
        <v>249</v>
      </c>
      <c r="B145" t="s">
        <v>250</v>
      </c>
      <c r="C145" t="s">
        <v>14</v>
      </c>
      <c r="D145" t="s">
        <v>15</v>
      </c>
      <c r="E145" t="s">
        <v>16</v>
      </c>
      <c r="F145">
        <v>10</v>
      </c>
      <c r="G145">
        <v>20</v>
      </c>
      <c r="H145">
        <v>200</v>
      </c>
    </row>
    <row r="146" spans="1:8" x14ac:dyDescent="0.25">
      <c r="A146" t="s">
        <v>257</v>
      </c>
      <c r="B146" t="s">
        <v>258</v>
      </c>
      <c r="C146" t="s">
        <v>32</v>
      </c>
      <c r="D146" t="s">
        <v>15</v>
      </c>
      <c r="E146" t="s">
        <v>16</v>
      </c>
      <c r="F146">
        <v>8</v>
      </c>
      <c r="G146">
        <v>25</v>
      </c>
      <c r="H146">
        <v>200</v>
      </c>
    </row>
    <row r="147" spans="1:8" x14ac:dyDescent="0.25">
      <c r="A147" t="s">
        <v>265</v>
      </c>
      <c r="B147" t="s">
        <v>266</v>
      </c>
      <c r="C147" t="s">
        <v>14</v>
      </c>
      <c r="D147" t="s">
        <v>15</v>
      </c>
      <c r="E147" t="s">
        <v>16</v>
      </c>
      <c r="F147">
        <v>1</v>
      </c>
      <c r="G147">
        <v>800</v>
      </c>
      <c r="H147">
        <v>800</v>
      </c>
    </row>
    <row r="148" spans="1:8" x14ac:dyDescent="0.25">
      <c r="A148" t="s">
        <v>273</v>
      </c>
      <c r="B148" t="s">
        <v>274</v>
      </c>
      <c r="C148" t="s">
        <v>32</v>
      </c>
      <c r="D148" t="s">
        <v>15</v>
      </c>
      <c r="E148" t="s">
        <v>16</v>
      </c>
      <c r="F148">
        <v>2</v>
      </c>
      <c r="G148">
        <v>700</v>
      </c>
      <c r="H148">
        <v>1400</v>
      </c>
    </row>
    <row r="149" spans="1:8" x14ac:dyDescent="0.25">
      <c r="A149" t="s">
        <v>281</v>
      </c>
      <c r="B149" t="s">
        <v>282</v>
      </c>
      <c r="C149" t="s">
        <v>14</v>
      </c>
      <c r="D149" t="s">
        <v>15</v>
      </c>
      <c r="E149" t="s">
        <v>16</v>
      </c>
      <c r="F149">
        <v>2</v>
      </c>
      <c r="G149">
        <v>750</v>
      </c>
      <c r="H149">
        <v>1500</v>
      </c>
    </row>
    <row r="150" spans="1:8" x14ac:dyDescent="0.25">
      <c r="A150" t="s">
        <v>289</v>
      </c>
      <c r="B150" t="s">
        <v>290</v>
      </c>
      <c r="C150" t="s">
        <v>32</v>
      </c>
      <c r="D150" t="s">
        <v>15</v>
      </c>
      <c r="E150" t="s">
        <v>16</v>
      </c>
      <c r="F150">
        <v>10</v>
      </c>
      <c r="G150">
        <v>20</v>
      </c>
      <c r="H150">
        <v>200</v>
      </c>
    </row>
    <row r="151" spans="1:8" x14ac:dyDescent="0.25">
      <c r="A151" t="s">
        <v>297</v>
      </c>
      <c r="B151" t="s">
        <v>298</v>
      </c>
      <c r="C151" t="s">
        <v>14</v>
      </c>
      <c r="D151" t="s">
        <v>15</v>
      </c>
      <c r="E151" t="s">
        <v>16</v>
      </c>
      <c r="F151">
        <v>8</v>
      </c>
      <c r="G151">
        <v>25</v>
      </c>
      <c r="H151">
        <v>200</v>
      </c>
    </row>
    <row r="152" spans="1:8" x14ac:dyDescent="0.25">
      <c r="A152" t="s">
        <v>305</v>
      </c>
      <c r="B152" t="s">
        <v>306</v>
      </c>
      <c r="C152" t="s">
        <v>32</v>
      </c>
      <c r="D152" t="s">
        <v>15</v>
      </c>
      <c r="E152" t="s">
        <v>16</v>
      </c>
      <c r="F152">
        <v>1</v>
      </c>
      <c r="G152">
        <v>800</v>
      </c>
      <c r="H152">
        <v>800</v>
      </c>
    </row>
    <row r="153" spans="1:8" x14ac:dyDescent="0.25">
      <c r="A153" t="s">
        <v>313</v>
      </c>
      <c r="B153" t="s">
        <v>314</v>
      </c>
      <c r="C153" t="s">
        <v>14</v>
      </c>
      <c r="D153" t="s">
        <v>15</v>
      </c>
      <c r="E153" t="s">
        <v>16</v>
      </c>
      <c r="F153">
        <v>2</v>
      </c>
      <c r="G153">
        <v>700</v>
      </c>
      <c r="H153">
        <v>1400</v>
      </c>
    </row>
    <row r="154" spans="1:8" x14ac:dyDescent="0.25">
      <c r="A154" t="s">
        <v>321</v>
      </c>
      <c r="B154" t="s">
        <v>322</v>
      </c>
      <c r="C154" t="s">
        <v>32</v>
      </c>
      <c r="D154" t="s">
        <v>15</v>
      </c>
      <c r="E154" t="s">
        <v>16</v>
      </c>
      <c r="F154">
        <v>2</v>
      </c>
      <c r="G154">
        <v>750</v>
      </c>
      <c r="H154">
        <v>1500</v>
      </c>
    </row>
    <row r="155" spans="1:8" x14ac:dyDescent="0.25">
      <c r="A155" t="s">
        <v>329</v>
      </c>
      <c r="B155" t="s">
        <v>330</v>
      </c>
      <c r="C155" t="s">
        <v>14</v>
      </c>
      <c r="D155" t="s">
        <v>15</v>
      </c>
      <c r="E155" t="s">
        <v>16</v>
      </c>
      <c r="F155">
        <v>10</v>
      </c>
      <c r="G155">
        <v>20</v>
      </c>
      <c r="H155">
        <v>200</v>
      </c>
    </row>
    <row r="156" spans="1:8" x14ac:dyDescent="0.25">
      <c r="A156" t="s">
        <v>337</v>
      </c>
      <c r="B156" t="s">
        <v>338</v>
      </c>
      <c r="C156" t="s">
        <v>32</v>
      </c>
      <c r="D156" t="s">
        <v>15</v>
      </c>
      <c r="E156" t="s">
        <v>16</v>
      </c>
      <c r="F156">
        <v>8</v>
      </c>
      <c r="G156">
        <v>25</v>
      </c>
      <c r="H156">
        <v>200</v>
      </c>
    </row>
    <row r="157" spans="1:8" x14ac:dyDescent="0.25">
      <c r="A157" t="s">
        <v>345</v>
      </c>
      <c r="B157" t="s">
        <v>346</v>
      </c>
      <c r="C157" t="s">
        <v>14</v>
      </c>
      <c r="D157" t="s">
        <v>15</v>
      </c>
      <c r="E157" t="s">
        <v>16</v>
      </c>
      <c r="F157">
        <v>1</v>
      </c>
      <c r="G157">
        <v>800</v>
      </c>
      <c r="H157">
        <v>800</v>
      </c>
    </row>
    <row r="158" spans="1:8" x14ac:dyDescent="0.25">
      <c r="A158" t="s">
        <v>353</v>
      </c>
      <c r="B158" t="s">
        <v>354</v>
      </c>
      <c r="C158" t="s">
        <v>32</v>
      </c>
      <c r="D158" t="s">
        <v>15</v>
      </c>
      <c r="E158" t="s">
        <v>16</v>
      </c>
      <c r="F158">
        <v>2</v>
      </c>
      <c r="G158">
        <v>700</v>
      </c>
      <c r="H158">
        <v>1400</v>
      </c>
    </row>
    <row r="159" spans="1:8" x14ac:dyDescent="0.25">
      <c r="A159" t="s">
        <v>361</v>
      </c>
      <c r="B159" t="s">
        <v>362</v>
      </c>
      <c r="C159" t="s">
        <v>14</v>
      </c>
      <c r="D159" t="s">
        <v>15</v>
      </c>
      <c r="E159" t="s">
        <v>16</v>
      </c>
      <c r="F159">
        <v>2</v>
      </c>
      <c r="G159">
        <v>750</v>
      </c>
      <c r="H159">
        <v>1500</v>
      </c>
    </row>
    <row r="160" spans="1:8" x14ac:dyDescent="0.25">
      <c r="A160" t="s">
        <v>369</v>
      </c>
      <c r="B160" t="s">
        <v>370</v>
      </c>
      <c r="C160" t="s">
        <v>32</v>
      </c>
      <c r="D160" t="s">
        <v>15</v>
      </c>
      <c r="E160" t="s">
        <v>16</v>
      </c>
      <c r="F160">
        <v>10</v>
      </c>
      <c r="G160">
        <v>20</v>
      </c>
      <c r="H160">
        <v>200</v>
      </c>
    </row>
    <row r="161" spans="1:8" x14ac:dyDescent="0.25">
      <c r="A161" t="s">
        <v>377</v>
      </c>
      <c r="B161" t="s">
        <v>378</v>
      </c>
      <c r="C161" t="s">
        <v>14</v>
      </c>
      <c r="D161" t="s">
        <v>15</v>
      </c>
      <c r="E161" t="s">
        <v>16</v>
      </c>
      <c r="F161">
        <v>8</v>
      </c>
      <c r="G161">
        <v>25</v>
      </c>
      <c r="H161">
        <v>200</v>
      </c>
    </row>
    <row r="162" spans="1:8" x14ac:dyDescent="0.25">
      <c r="A162" t="s">
        <v>385</v>
      </c>
      <c r="B162" t="s">
        <v>386</v>
      </c>
      <c r="C162" t="s">
        <v>32</v>
      </c>
      <c r="D162" t="s">
        <v>15</v>
      </c>
      <c r="E162" t="s">
        <v>16</v>
      </c>
      <c r="F162">
        <v>1</v>
      </c>
      <c r="G162">
        <v>800</v>
      </c>
      <c r="H162">
        <v>800</v>
      </c>
    </row>
    <row r="163" spans="1:8" x14ac:dyDescent="0.25">
      <c r="A163" t="s">
        <v>393</v>
      </c>
      <c r="B163" t="s">
        <v>394</v>
      </c>
      <c r="C163" t="s">
        <v>14</v>
      </c>
      <c r="D163" t="s">
        <v>15</v>
      </c>
      <c r="E163" t="s">
        <v>16</v>
      </c>
      <c r="F163">
        <v>2</v>
      </c>
      <c r="G163">
        <v>700</v>
      </c>
      <c r="H163">
        <v>1400</v>
      </c>
    </row>
    <row r="164" spans="1:8" x14ac:dyDescent="0.25">
      <c r="A164" t="s">
        <v>401</v>
      </c>
      <c r="B164" t="s">
        <v>402</v>
      </c>
      <c r="C164" t="s">
        <v>32</v>
      </c>
      <c r="D164" t="s">
        <v>15</v>
      </c>
      <c r="E164" t="s">
        <v>16</v>
      </c>
      <c r="F164">
        <v>2</v>
      </c>
      <c r="G164">
        <v>750</v>
      </c>
      <c r="H164">
        <v>1500</v>
      </c>
    </row>
    <row r="165" spans="1:8" x14ac:dyDescent="0.25">
      <c r="A165" t="s">
        <v>409</v>
      </c>
      <c r="B165" t="s">
        <v>410</v>
      </c>
      <c r="C165" t="s">
        <v>14</v>
      </c>
      <c r="D165" t="s">
        <v>15</v>
      </c>
      <c r="E165" t="s">
        <v>16</v>
      </c>
      <c r="F165">
        <v>10</v>
      </c>
      <c r="G165">
        <v>20</v>
      </c>
      <c r="H165">
        <v>200</v>
      </c>
    </row>
    <row r="166" spans="1:8" x14ac:dyDescent="0.25">
      <c r="A166" t="s">
        <v>417</v>
      </c>
      <c r="B166" t="s">
        <v>418</v>
      </c>
      <c r="C166" t="s">
        <v>32</v>
      </c>
      <c r="D166" t="s">
        <v>15</v>
      </c>
      <c r="E166" t="s">
        <v>16</v>
      </c>
      <c r="F166">
        <v>8</v>
      </c>
      <c r="G166">
        <v>25</v>
      </c>
      <c r="H166">
        <v>200</v>
      </c>
    </row>
    <row r="167" spans="1:8" x14ac:dyDescent="0.25">
      <c r="A167" t="s">
        <v>425</v>
      </c>
      <c r="B167" t="s">
        <v>426</v>
      </c>
      <c r="C167" t="s">
        <v>14</v>
      </c>
      <c r="D167" t="s">
        <v>15</v>
      </c>
      <c r="E167" t="s">
        <v>16</v>
      </c>
      <c r="F167">
        <v>1</v>
      </c>
      <c r="G167">
        <v>800</v>
      </c>
      <c r="H167">
        <v>800</v>
      </c>
    </row>
    <row r="168" spans="1:8" x14ac:dyDescent="0.25">
      <c r="A168" t="s">
        <v>433</v>
      </c>
      <c r="B168" t="s">
        <v>434</v>
      </c>
      <c r="C168" t="s">
        <v>32</v>
      </c>
      <c r="D168" t="s">
        <v>15</v>
      </c>
      <c r="E168" t="s">
        <v>16</v>
      </c>
      <c r="F168">
        <v>2</v>
      </c>
      <c r="G168">
        <v>700</v>
      </c>
      <c r="H168">
        <v>1400</v>
      </c>
    </row>
    <row r="169" spans="1:8" x14ac:dyDescent="0.25">
      <c r="A169" t="s">
        <v>441</v>
      </c>
      <c r="B169" t="s">
        <v>442</v>
      </c>
      <c r="C169" t="s">
        <v>14</v>
      </c>
      <c r="D169" t="s">
        <v>15</v>
      </c>
      <c r="E169" t="s">
        <v>16</v>
      </c>
      <c r="F169">
        <v>2</v>
      </c>
      <c r="G169">
        <v>750</v>
      </c>
      <c r="H169">
        <v>1500</v>
      </c>
    </row>
    <row r="170" spans="1:8" x14ac:dyDescent="0.25">
      <c r="A170" t="s">
        <v>449</v>
      </c>
      <c r="B170" t="s">
        <v>450</v>
      </c>
      <c r="C170" t="s">
        <v>32</v>
      </c>
      <c r="D170" t="s">
        <v>15</v>
      </c>
      <c r="E170" t="s">
        <v>16</v>
      </c>
      <c r="F170">
        <v>10</v>
      </c>
      <c r="G170">
        <v>20</v>
      </c>
      <c r="H170">
        <v>200</v>
      </c>
    </row>
    <row r="171" spans="1:8" x14ac:dyDescent="0.25">
      <c r="A171" t="s">
        <v>457</v>
      </c>
      <c r="B171" t="s">
        <v>458</v>
      </c>
      <c r="C171" t="s">
        <v>14</v>
      </c>
      <c r="D171" t="s">
        <v>15</v>
      </c>
      <c r="E171" t="s">
        <v>16</v>
      </c>
      <c r="F171">
        <v>8</v>
      </c>
      <c r="G171">
        <v>25</v>
      </c>
      <c r="H171">
        <v>200</v>
      </c>
    </row>
    <row r="172" spans="1:8" x14ac:dyDescent="0.25">
      <c r="A172" t="s">
        <v>465</v>
      </c>
      <c r="B172" t="s">
        <v>466</v>
      </c>
      <c r="C172" t="s">
        <v>32</v>
      </c>
      <c r="D172" t="s">
        <v>15</v>
      </c>
      <c r="E172" t="s">
        <v>16</v>
      </c>
      <c r="F172">
        <v>1</v>
      </c>
      <c r="G172">
        <v>800</v>
      </c>
      <c r="H172">
        <v>800</v>
      </c>
    </row>
    <row r="173" spans="1:8" x14ac:dyDescent="0.25">
      <c r="A173" t="s">
        <v>473</v>
      </c>
      <c r="B173" t="s">
        <v>474</v>
      </c>
      <c r="C173" t="s">
        <v>14</v>
      </c>
      <c r="D173" t="s">
        <v>15</v>
      </c>
      <c r="E173" t="s">
        <v>16</v>
      </c>
      <c r="F173">
        <v>2</v>
      </c>
      <c r="G173">
        <v>700</v>
      </c>
      <c r="H173">
        <v>1400</v>
      </c>
    </row>
    <row r="174" spans="1:8" x14ac:dyDescent="0.25">
      <c r="A174" t="s">
        <v>23</v>
      </c>
      <c r="B174" t="s">
        <v>24</v>
      </c>
      <c r="C174" t="s">
        <v>25</v>
      </c>
      <c r="D174" t="s">
        <v>26</v>
      </c>
      <c r="E174" t="s">
        <v>17</v>
      </c>
      <c r="F174">
        <v>10</v>
      </c>
      <c r="G174">
        <v>20</v>
      </c>
      <c r="H174">
        <v>200</v>
      </c>
    </row>
    <row r="175" spans="1:8" x14ac:dyDescent="0.25">
      <c r="A175" t="s">
        <v>36</v>
      </c>
      <c r="B175" t="s">
        <v>37</v>
      </c>
      <c r="C175" t="s">
        <v>38</v>
      </c>
      <c r="D175" t="s">
        <v>26</v>
      </c>
      <c r="E175" t="s">
        <v>17</v>
      </c>
      <c r="F175">
        <v>8</v>
      </c>
      <c r="G175">
        <v>25</v>
      </c>
      <c r="H175">
        <v>200</v>
      </c>
    </row>
    <row r="176" spans="1:8" x14ac:dyDescent="0.25">
      <c r="A176" t="s">
        <v>45</v>
      </c>
      <c r="B176" t="s">
        <v>46</v>
      </c>
      <c r="C176" t="s">
        <v>25</v>
      </c>
      <c r="D176" t="s">
        <v>26</v>
      </c>
      <c r="E176" t="s">
        <v>17</v>
      </c>
      <c r="F176">
        <v>1</v>
      </c>
      <c r="G176">
        <v>800</v>
      </c>
      <c r="H176">
        <v>800</v>
      </c>
    </row>
    <row r="177" spans="1:8" x14ac:dyDescent="0.25">
      <c r="A177" t="s">
        <v>53</v>
      </c>
      <c r="B177" t="s">
        <v>54</v>
      </c>
      <c r="C177" t="s">
        <v>38</v>
      </c>
      <c r="D177" t="s">
        <v>26</v>
      </c>
      <c r="E177" t="s">
        <v>17</v>
      </c>
      <c r="F177">
        <v>2</v>
      </c>
      <c r="G177">
        <v>700</v>
      </c>
      <c r="H177">
        <v>1400</v>
      </c>
    </row>
    <row r="178" spans="1:8" x14ac:dyDescent="0.25">
      <c r="A178" t="s">
        <v>61</v>
      </c>
      <c r="B178" t="s">
        <v>62</v>
      </c>
      <c r="C178" t="s">
        <v>25</v>
      </c>
      <c r="D178" t="s">
        <v>26</v>
      </c>
      <c r="E178" t="s">
        <v>17</v>
      </c>
      <c r="F178">
        <v>2</v>
      </c>
      <c r="G178">
        <v>750</v>
      </c>
      <c r="H178">
        <v>1500</v>
      </c>
    </row>
    <row r="179" spans="1:8" x14ac:dyDescent="0.25">
      <c r="A179" t="s">
        <v>69</v>
      </c>
      <c r="B179" t="s">
        <v>70</v>
      </c>
      <c r="C179" t="s">
        <v>38</v>
      </c>
      <c r="D179" t="s">
        <v>26</v>
      </c>
      <c r="E179" t="s">
        <v>17</v>
      </c>
      <c r="F179">
        <v>10</v>
      </c>
      <c r="G179">
        <v>20</v>
      </c>
      <c r="H179">
        <v>200</v>
      </c>
    </row>
    <row r="180" spans="1:8" x14ac:dyDescent="0.25">
      <c r="A180" t="s">
        <v>77</v>
      </c>
      <c r="B180" t="s">
        <v>78</v>
      </c>
      <c r="C180" t="s">
        <v>25</v>
      </c>
      <c r="D180" t="s">
        <v>26</v>
      </c>
      <c r="E180" t="s">
        <v>17</v>
      </c>
      <c r="F180">
        <v>8</v>
      </c>
      <c r="G180">
        <v>25</v>
      </c>
      <c r="H180">
        <v>200</v>
      </c>
    </row>
    <row r="181" spans="1:8" x14ac:dyDescent="0.25">
      <c r="A181" t="s">
        <v>85</v>
      </c>
      <c r="B181" t="s">
        <v>86</v>
      </c>
      <c r="C181" t="s">
        <v>38</v>
      </c>
      <c r="D181" t="s">
        <v>26</v>
      </c>
      <c r="E181" t="s">
        <v>17</v>
      </c>
      <c r="F181">
        <v>1</v>
      </c>
      <c r="G181">
        <v>800</v>
      </c>
      <c r="H181">
        <v>800</v>
      </c>
    </row>
    <row r="182" spans="1:8" x14ac:dyDescent="0.25">
      <c r="A182" t="s">
        <v>93</v>
      </c>
      <c r="B182" t="s">
        <v>94</v>
      </c>
      <c r="C182" t="s">
        <v>25</v>
      </c>
      <c r="D182" t="s">
        <v>26</v>
      </c>
      <c r="E182" t="s">
        <v>17</v>
      </c>
      <c r="F182">
        <v>2</v>
      </c>
      <c r="G182">
        <v>700</v>
      </c>
      <c r="H182">
        <v>1400</v>
      </c>
    </row>
    <row r="183" spans="1:8" x14ac:dyDescent="0.25">
      <c r="A183" t="s">
        <v>101</v>
      </c>
      <c r="B183" t="s">
        <v>102</v>
      </c>
      <c r="C183" t="s">
        <v>38</v>
      </c>
      <c r="D183" t="s">
        <v>26</v>
      </c>
      <c r="E183" t="s">
        <v>17</v>
      </c>
      <c r="F183">
        <v>2</v>
      </c>
      <c r="G183">
        <v>750</v>
      </c>
      <c r="H183">
        <v>1500</v>
      </c>
    </row>
    <row r="184" spans="1:8" x14ac:dyDescent="0.25">
      <c r="A184" t="s">
        <v>109</v>
      </c>
      <c r="B184" t="s">
        <v>110</v>
      </c>
      <c r="C184" t="s">
        <v>25</v>
      </c>
      <c r="D184" t="s">
        <v>26</v>
      </c>
      <c r="E184" t="s">
        <v>17</v>
      </c>
      <c r="F184">
        <v>10</v>
      </c>
      <c r="G184">
        <v>20</v>
      </c>
      <c r="H184">
        <v>200</v>
      </c>
    </row>
    <row r="185" spans="1:8" x14ac:dyDescent="0.25">
      <c r="A185" t="s">
        <v>117</v>
      </c>
      <c r="B185" t="s">
        <v>118</v>
      </c>
      <c r="C185" t="s">
        <v>38</v>
      </c>
      <c r="D185" t="s">
        <v>26</v>
      </c>
      <c r="E185" t="s">
        <v>17</v>
      </c>
      <c r="F185">
        <v>8</v>
      </c>
      <c r="G185">
        <v>25</v>
      </c>
      <c r="H185">
        <v>200</v>
      </c>
    </row>
    <row r="186" spans="1:8" x14ac:dyDescent="0.25">
      <c r="A186" t="s">
        <v>125</v>
      </c>
      <c r="B186" t="s">
        <v>126</v>
      </c>
      <c r="C186" t="s">
        <v>25</v>
      </c>
      <c r="D186" t="s">
        <v>26</v>
      </c>
      <c r="E186" t="s">
        <v>17</v>
      </c>
      <c r="F186">
        <v>1</v>
      </c>
      <c r="G186">
        <v>800</v>
      </c>
      <c r="H186">
        <v>800</v>
      </c>
    </row>
    <row r="187" spans="1:8" x14ac:dyDescent="0.25">
      <c r="A187" t="s">
        <v>133</v>
      </c>
      <c r="B187" t="s">
        <v>134</v>
      </c>
      <c r="C187" t="s">
        <v>38</v>
      </c>
      <c r="D187" t="s">
        <v>26</v>
      </c>
      <c r="E187" t="s">
        <v>17</v>
      </c>
      <c r="F187">
        <v>2</v>
      </c>
      <c r="G187">
        <v>700</v>
      </c>
      <c r="H187">
        <v>1400</v>
      </c>
    </row>
    <row r="188" spans="1:8" x14ac:dyDescent="0.25">
      <c r="A188" t="s">
        <v>141</v>
      </c>
      <c r="B188" t="s">
        <v>142</v>
      </c>
      <c r="C188" t="s">
        <v>25</v>
      </c>
      <c r="D188" t="s">
        <v>26</v>
      </c>
      <c r="E188" t="s">
        <v>17</v>
      </c>
      <c r="F188">
        <v>2</v>
      </c>
      <c r="G188">
        <v>750</v>
      </c>
      <c r="H188">
        <v>1500</v>
      </c>
    </row>
    <row r="189" spans="1:8" x14ac:dyDescent="0.25">
      <c r="A189" t="s">
        <v>149</v>
      </c>
      <c r="B189" t="s">
        <v>150</v>
      </c>
      <c r="C189" t="s">
        <v>38</v>
      </c>
      <c r="D189" t="s">
        <v>26</v>
      </c>
      <c r="E189" t="s">
        <v>17</v>
      </c>
      <c r="F189">
        <v>10</v>
      </c>
      <c r="G189">
        <v>20</v>
      </c>
      <c r="H189">
        <v>200</v>
      </c>
    </row>
    <row r="190" spans="1:8" x14ac:dyDescent="0.25">
      <c r="A190" t="s">
        <v>157</v>
      </c>
      <c r="B190" t="s">
        <v>158</v>
      </c>
      <c r="C190" t="s">
        <v>25</v>
      </c>
      <c r="D190" t="s">
        <v>26</v>
      </c>
      <c r="E190" t="s">
        <v>17</v>
      </c>
      <c r="F190">
        <v>8</v>
      </c>
      <c r="G190">
        <v>25</v>
      </c>
      <c r="H190">
        <v>200</v>
      </c>
    </row>
    <row r="191" spans="1:8" x14ac:dyDescent="0.25">
      <c r="A191" t="s">
        <v>165</v>
      </c>
      <c r="B191" t="s">
        <v>166</v>
      </c>
      <c r="C191" t="s">
        <v>38</v>
      </c>
      <c r="D191" t="s">
        <v>26</v>
      </c>
      <c r="E191" t="s">
        <v>17</v>
      </c>
      <c r="F191">
        <v>1</v>
      </c>
      <c r="G191">
        <v>800</v>
      </c>
      <c r="H191">
        <v>800</v>
      </c>
    </row>
    <row r="192" spans="1:8" x14ac:dyDescent="0.25">
      <c r="A192" t="s">
        <v>173</v>
      </c>
      <c r="B192" t="s">
        <v>174</v>
      </c>
      <c r="C192" t="s">
        <v>25</v>
      </c>
      <c r="D192" t="s">
        <v>26</v>
      </c>
      <c r="E192" t="s">
        <v>17</v>
      </c>
      <c r="F192">
        <v>2</v>
      </c>
      <c r="G192">
        <v>700</v>
      </c>
      <c r="H192">
        <v>1400</v>
      </c>
    </row>
    <row r="193" spans="1:8" x14ac:dyDescent="0.25">
      <c r="A193" t="s">
        <v>181</v>
      </c>
      <c r="B193" t="s">
        <v>182</v>
      </c>
      <c r="C193" t="s">
        <v>38</v>
      </c>
      <c r="D193" t="s">
        <v>26</v>
      </c>
      <c r="E193" t="s">
        <v>17</v>
      </c>
      <c r="F193">
        <v>2</v>
      </c>
      <c r="G193">
        <v>750</v>
      </c>
      <c r="H193">
        <v>1500</v>
      </c>
    </row>
    <row r="194" spans="1:8" x14ac:dyDescent="0.25">
      <c r="A194" t="s">
        <v>189</v>
      </c>
      <c r="B194" t="s">
        <v>190</v>
      </c>
      <c r="C194" t="s">
        <v>25</v>
      </c>
      <c r="D194" t="s">
        <v>26</v>
      </c>
      <c r="E194" t="s">
        <v>17</v>
      </c>
      <c r="F194">
        <v>10</v>
      </c>
      <c r="G194">
        <v>20</v>
      </c>
      <c r="H194">
        <v>200</v>
      </c>
    </row>
    <row r="195" spans="1:8" x14ac:dyDescent="0.25">
      <c r="A195" t="s">
        <v>197</v>
      </c>
      <c r="B195" t="s">
        <v>198</v>
      </c>
      <c r="C195" t="s">
        <v>38</v>
      </c>
      <c r="D195" t="s">
        <v>26</v>
      </c>
      <c r="E195" t="s">
        <v>17</v>
      </c>
      <c r="F195">
        <v>8</v>
      </c>
      <c r="G195">
        <v>25</v>
      </c>
      <c r="H195">
        <v>200</v>
      </c>
    </row>
    <row r="196" spans="1:8" x14ac:dyDescent="0.25">
      <c r="A196" t="s">
        <v>205</v>
      </c>
      <c r="B196" t="s">
        <v>206</v>
      </c>
      <c r="C196" t="s">
        <v>25</v>
      </c>
      <c r="D196" t="s">
        <v>26</v>
      </c>
      <c r="E196" t="s">
        <v>17</v>
      </c>
      <c r="F196">
        <v>1</v>
      </c>
      <c r="G196">
        <v>800</v>
      </c>
      <c r="H196">
        <v>800</v>
      </c>
    </row>
    <row r="197" spans="1:8" x14ac:dyDescent="0.25">
      <c r="A197" t="s">
        <v>213</v>
      </c>
      <c r="B197" t="s">
        <v>214</v>
      </c>
      <c r="C197" t="s">
        <v>38</v>
      </c>
      <c r="D197" t="s">
        <v>26</v>
      </c>
      <c r="E197" t="s">
        <v>17</v>
      </c>
      <c r="F197">
        <v>2</v>
      </c>
      <c r="G197">
        <v>700</v>
      </c>
      <c r="H197">
        <v>1400</v>
      </c>
    </row>
    <row r="198" spans="1:8" x14ac:dyDescent="0.25">
      <c r="A198" t="s">
        <v>221</v>
      </c>
      <c r="B198" t="s">
        <v>222</v>
      </c>
      <c r="C198" t="s">
        <v>25</v>
      </c>
      <c r="D198" t="s">
        <v>26</v>
      </c>
      <c r="E198" t="s">
        <v>17</v>
      </c>
      <c r="F198">
        <v>2</v>
      </c>
      <c r="G198">
        <v>750</v>
      </c>
      <c r="H198">
        <v>1500</v>
      </c>
    </row>
    <row r="199" spans="1:8" x14ac:dyDescent="0.25">
      <c r="A199" t="s">
        <v>229</v>
      </c>
      <c r="B199" t="s">
        <v>230</v>
      </c>
      <c r="C199" t="s">
        <v>38</v>
      </c>
      <c r="D199" t="s">
        <v>26</v>
      </c>
      <c r="E199" t="s">
        <v>17</v>
      </c>
      <c r="F199">
        <v>10</v>
      </c>
      <c r="G199">
        <v>20</v>
      </c>
      <c r="H199">
        <v>200</v>
      </c>
    </row>
    <row r="200" spans="1:8" x14ac:dyDescent="0.25">
      <c r="A200" t="s">
        <v>237</v>
      </c>
      <c r="B200" t="s">
        <v>238</v>
      </c>
      <c r="C200" t="s">
        <v>25</v>
      </c>
      <c r="D200" t="s">
        <v>26</v>
      </c>
      <c r="E200" t="s">
        <v>17</v>
      </c>
      <c r="F200">
        <v>8</v>
      </c>
      <c r="G200">
        <v>25</v>
      </c>
      <c r="H200">
        <v>200</v>
      </c>
    </row>
    <row r="201" spans="1:8" x14ac:dyDescent="0.25">
      <c r="A201" t="s">
        <v>245</v>
      </c>
      <c r="B201" t="s">
        <v>246</v>
      </c>
      <c r="C201" t="s">
        <v>38</v>
      </c>
      <c r="D201" t="s">
        <v>26</v>
      </c>
      <c r="E201" t="s">
        <v>17</v>
      </c>
      <c r="F201">
        <v>1</v>
      </c>
      <c r="G201">
        <v>800</v>
      </c>
      <c r="H201">
        <v>800</v>
      </c>
    </row>
    <row r="202" spans="1:8" x14ac:dyDescent="0.25">
      <c r="A202" t="s">
        <v>253</v>
      </c>
      <c r="B202" t="s">
        <v>254</v>
      </c>
      <c r="C202" t="s">
        <v>25</v>
      </c>
      <c r="D202" t="s">
        <v>26</v>
      </c>
      <c r="E202" t="s">
        <v>17</v>
      </c>
      <c r="F202">
        <v>2</v>
      </c>
      <c r="G202">
        <v>700</v>
      </c>
      <c r="H202">
        <v>1400</v>
      </c>
    </row>
    <row r="203" spans="1:8" x14ac:dyDescent="0.25">
      <c r="A203" t="s">
        <v>261</v>
      </c>
      <c r="B203" t="s">
        <v>262</v>
      </c>
      <c r="C203" t="s">
        <v>38</v>
      </c>
      <c r="D203" t="s">
        <v>26</v>
      </c>
      <c r="E203" t="s">
        <v>17</v>
      </c>
      <c r="F203">
        <v>2</v>
      </c>
      <c r="G203">
        <v>750</v>
      </c>
      <c r="H203">
        <v>1500</v>
      </c>
    </row>
    <row r="204" spans="1:8" x14ac:dyDescent="0.25">
      <c r="A204" t="s">
        <v>269</v>
      </c>
      <c r="B204" t="s">
        <v>270</v>
      </c>
      <c r="C204" t="s">
        <v>25</v>
      </c>
      <c r="D204" t="s">
        <v>26</v>
      </c>
      <c r="E204" t="s">
        <v>17</v>
      </c>
      <c r="F204">
        <v>10</v>
      </c>
      <c r="G204">
        <v>20</v>
      </c>
      <c r="H204">
        <v>200</v>
      </c>
    </row>
    <row r="205" spans="1:8" x14ac:dyDescent="0.25">
      <c r="A205" t="s">
        <v>277</v>
      </c>
      <c r="B205" t="s">
        <v>278</v>
      </c>
      <c r="C205" t="s">
        <v>38</v>
      </c>
      <c r="D205" t="s">
        <v>26</v>
      </c>
      <c r="E205" t="s">
        <v>17</v>
      </c>
      <c r="F205">
        <v>8</v>
      </c>
      <c r="G205">
        <v>25</v>
      </c>
      <c r="H205">
        <v>200</v>
      </c>
    </row>
    <row r="206" spans="1:8" x14ac:dyDescent="0.25">
      <c r="A206" t="s">
        <v>285</v>
      </c>
      <c r="B206" t="s">
        <v>286</v>
      </c>
      <c r="C206" t="s">
        <v>25</v>
      </c>
      <c r="D206" t="s">
        <v>26</v>
      </c>
      <c r="E206" t="s">
        <v>17</v>
      </c>
      <c r="F206">
        <v>1</v>
      </c>
      <c r="G206">
        <v>800</v>
      </c>
      <c r="H206">
        <v>800</v>
      </c>
    </row>
    <row r="207" spans="1:8" x14ac:dyDescent="0.25">
      <c r="A207" t="s">
        <v>293</v>
      </c>
      <c r="B207" t="s">
        <v>294</v>
      </c>
      <c r="C207" t="s">
        <v>38</v>
      </c>
      <c r="D207" t="s">
        <v>26</v>
      </c>
      <c r="E207" t="s">
        <v>17</v>
      </c>
      <c r="F207">
        <v>2</v>
      </c>
      <c r="G207">
        <v>700</v>
      </c>
      <c r="H207">
        <v>1400</v>
      </c>
    </row>
    <row r="208" spans="1:8" x14ac:dyDescent="0.25">
      <c r="A208" t="s">
        <v>301</v>
      </c>
      <c r="B208" t="s">
        <v>302</v>
      </c>
      <c r="C208" t="s">
        <v>25</v>
      </c>
      <c r="D208" t="s">
        <v>26</v>
      </c>
      <c r="E208" t="s">
        <v>17</v>
      </c>
      <c r="F208">
        <v>2</v>
      </c>
      <c r="G208">
        <v>750</v>
      </c>
      <c r="H208">
        <v>1500</v>
      </c>
    </row>
    <row r="209" spans="1:8" x14ac:dyDescent="0.25">
      <c r="A209" t="s">
        <v>309</v>
      </c>
      <c r="B209" t="s">
        <v>310</v>
      </c>
      <c r="C209" t="s">
        <v>38</v>
      </c>
      <c r="D209" t="s">
        <v>26</v>
      </c>
      <c r="E209" t="s">
        <v>17</v>
      </c>
      <c r="F209">
        <v>10</v>
      </c>
      <c r="G209">
        <v>20</v>
      </c>
      <c r="H209">
        <v>200</v>
      </c>
    </row>
    <row r="210" spans="1:8" x14ac:dyDescent="0.25">
      <c r="A210" t="s">
        <v>317</v>
      </c>
      <c r="B210" t="s">
        <v>318</v>
      </c>
      <c r="C210" t="s">
        <v>25</v>
      </c>
      <c r="D210" t="s">
        <v>26</v>
      </c>
      <c r="E210" t="s">
        <v>17</v>
      </c>
      <c r="F210">
        <v>8</v>
      </c>
      <c r="G210">
        <v>25</v>
      </c>
      <c r="H210">
        <v>200</v>
      </c>
    </row>
    <row r="211" spans="1:8" x14ac:dyDescent="0.25">
      <c r="A211" t="s">
        <v>325</v>
      </c>
      <c r="B211" t="s">
        <v>326</v>
      </c>
      <c r="C211" t="s">
        <v>38</v>
      </c>
      <c r="D211" t="s">
        <v>26</v>
      </c>
      <c r="E211" t="s">
        <v>17</v>
      </c>
      <c r="F211">
        <v>1</v>
      </c>
      <c r="G211">
        <v>800</v>
      </c>
      <c r="H211">
        <v>800</v>
      </c>
    </row>
    <row r="212" spans="1:8" x14ac:dyDescent="0.25">
      <c r="A212" t="s">
        <v>333</v>
      </c>
      <c r="B212" t="s">
        <v>334</v>
      </c>
      <c r="C212" t="s">
        <v>25</v>
      </c>
      <c r="D212" t="s">
        <v>26</v>
      </c>
      <c r="E212" t="s">
        <v>17</v>
      </c>
      <c r="F212">
        <v>2</v>
      </c>
      <c r="G212">
        <v>700</v>
      </c>
      <c r="H212">
        <v>1400</v>
      </c>
    </row>
    <row r="213" spans="1:8" x14ac:dyDescent="0.25">
      <c r="A213" t="s">
        <v>341</v>
      </c>
      <c r="B213" t="s">
        <v>342</v>
      </c>
      <c r="C213" t="s">
        <v>38</v>
      </c>
      <c r="D213" t="s">
        <v>26</v>
      </c>
      <c r="E213" t="s">
        <v>17</v>
      </c>
      <c r="F213">
        <v>2</v>
      </c>
      <c r="G213">
        <v>750</v>
      </c>
      <c r="H213">
        <v>1500</v>
      </c>
    </row>
    <row r="214" spans="1:8" x14ac:dyDescent="0.25">
      <c r="A214" t="s">
        <v>349</v>
      </c>
      <c r="B214" t="s">
        <v>350</v>
      </c>
      <c r="C214" t="s">
        <v>25</v>
      </c>
      <c r="D214" t="s">
        <v>26</v>
      </c>
      <c r="E214" t="s">
        <v>17</v>
      </c>
      <c r="F214">
        <v>10</v>
      </c>
      <c r="G214">
        <v>20</v>
      </c>
      <c r="H214">
        <v>200</v>
      </c>
    </row>
    <row r="215" spans="1:8" x14ac:dyDescent="0.25">
      <c r="A215" t="s">
        <v>357</v>
      </c>
      <c r="B215" t="s">
        <v>358</v>
      </c>
      <c r="C215" t="s">
        <v>38</v>
      </c>
      <c r="D215" t="s">
        <v>26</v>
      </c>
      <c r="E215" t="s">
        <v>17</v>
      </c>
      <c r="F215">
        <v>8</v>
      </c>
      <c r="G215">
        <v>25</v>
      </c>
      <c r="H215">
        <v>200</v>
      </c>
    </row>
    <row r="216" spans="1:8" x14ac:dyDescent="0.25">
      <c r="A216" t="s">
        <v>365</v>
      </c>
      <c r="B216" t="s">
        <v>366</v>
      </c>
      <c r="C216" t="s">
        <v>25</v>
      </c>
      <c r="D216" t="s">
        <v>26</v>
      </c>
      <c r="E216" t="s">
        <v>17</v>
      </c>
      <c r="F216">
        <v>1</v>
      </c>
      <c r="G216">
        <v>800</v>
      </c>
      <c r="H216">
        <v>800</v>
      </c>
    </row>
    <row r="217" spans="1:8" x14ac:dyDescent="0.25">
      <c r="A217" t="s">
        <v>373</v>
      </c>
      <c r="B217" t="s">
        <v>374</v>
      </c>
      <c r="C217" t="s">
        <v>38</v>
      </c>
      <c r="D217" t="s">
        <v>26</v>
      </c>
      <c r="E217" t="s">
        <v>17</v>
      </c>
      <c r="F217">
        <v>2</v>
      </c>
      <c r="G217">
        <v>700</v>
      </c>
      <c r="H217">
        <v>1400</v>
      </c>
    </row>
    <row r="218" spans="1:8" x14ac:dyDescent="0.25">
      <c r="A218" t="s">
        <v>381</v>
      </c>
      <c r="B218" t="s">
        <v>382</v>
      </c>
      <c r="C218" t="s">
        <v>25</v>
      </c>
      <c r="D218" t="s">
        <v>26</v>
      </c>
      <c r="E218" t="s">
        <v>17</v>
      </c>
      <c r="F218">
        <v>2</v>
      </c>
      <c r="G218">
        <v>750</v>
      </c>
      <c r="H218">
        <v>1500</v>
      </c>
    </row>
    <row r="219" spans="1:8" x14ac:dyDescent="0.25">
      <c r="A219" t="s">
        <v>389</v>
      </c>
      <c r="B219" t="s">
        <v>390</v>
      </c>
      <c r="C219" t="s">
        <v>38</v>
      </c>
      <c r="D219" t="s">
        <v>26</v>
      </c>
      <c r="E219" t="s">
        <v>17</v>
      </c>
      <c r="F219">
        <v>10</v>
      </c>
      <c r="G219">
        <v>20</v>
      </c>
      <c r="H219">
        <v>200</v>
      </c>
    </row>
    <row r="220" spans="1:8" x14ac:dyDescent="0.25">
      <c r="A220" t="s">
        <v>397</v>
      </c>
      <c r="B220" t="s">
        <v>398</v>
      </c>
      <c r="C220" t="s">
        <v>25</v>
      </c>
      <c r="D220" t="s">
        <v>26</v>
      </c>
      <c r="E220" t="s">
        <v>17</v>
      </c>
      <c r="F220">
        <v>8</v>
      </c>
      <c r="G220">
        <v>25</v>
      </c>
      <c r="H220">
        <v>200</v>
      </c>
    </row>
    <row r="221" spans="1:8" x14ac:dyDescent="0.25">
      <c r="A221" t="s">
        <v>405</v>
      </c>
      <c r="B221" t="s">
        <v>406</v>
      </c>
      <c r="C221" t="s">
        <v>38</v>
      </c>
      <c r="D221" t="s">
        <v>26</v>
      </c>
      <c r="E221" t="s">
        <v>17</v>
      </c>
      <c r="F221">
        <v>1</v>
      </c>
      <c r="G221">
        <v>800</v>
      </c>
      <c r="H221">
        <v>800</v>
      </c>
    </row>
    <row r="222" spans="1:8" x14ac:dyDescent="0.25">
      <c r="A222" t="s">
        <v>413</v>
      </c>
      <c r="B222" t="s">
        <v>414</v>
      </c>
      <c r="C222" t="s">
        <v>25</v>
      </c>
      <c r="D222" t="s">
        <v>26</v>
      </c>
      <c r="E222" t="s">
        <v>17</v>
      </c>
      <c r="F222">
        <v>2</v>
      </c>
      <c r="G222">
        <v>700</v>
      </c>
      <c r="H222">
        <v>1400</v>
      </c>
    </row>
    <row r="223" spans="1:8" x14ac:dyDescent="0.25">
      <c r="A223" t="s">
        <v>421</v>
      </c>
      <c r="B223" t="s">
        <v>422</v>
      </c>
      <c r="C223" t="s">
        <v>38</v>
      </c>
      <c r="D223" t="s">
        <v>26</v>
      </c>
      <c r="E223" t="s">
        <v>17</v>
      </c>
      <c r="F223">
        <v>2</v>
      </c>
      <c r="G223">
        <v>750</v>
      </c>
      <c r="H223">
        <v>1500</v>
      </c>
    </row>
    <row r="224" spans="1:8" x14ac:dyDescent="0.25">
      <c r="A224" t="s">
        <v>429</v>
      </c>
      <c r="B224" t="s">
        <v>430</v>
      </c>
      <c r="C224" t="s">
        <v>25</v>
      </c>
      <c r="D224" t="s">
        <v>26</v>
      </c>
      <c r="E224" t="s">
        <v>17</v>
      </c>
      <c r="F224">
        <v>10</v>
      </c>
      <c r="G224">
        <v>20</v>
      </c>
      <c r="H224">
        <v>200</v>
      </c>
    </row>
    <row r="225" spans="1:8" x14ac:dyDescent="0.25">
      <c r="A225" t="s">
        <v>437</v>
      </c>
      <c r="B225" t="s">
        <v>438</v>
      </c>
      <c r="C225" t="s">
        <v>38</v>
      </c>
      <c r="D225" t="s">
        <v>26</v>
      </c>
      <c r="E225" t="s">
        <v>17</v>
      </c>
      <c r="F225">
        <v>8</v>
      </c>
      <c r="G225">
        <v>25</v>
      </c>
      <c r="H225">
        <v>200</v>
      </c>
    </row>
    <row r="226" spans="1:8" x14ac:dyDescent="0.25">
      <c r="A226" t="s">
        <v>445</v>
      </c>
      <c r="B226" t="s">
        <v>446</v>
      </c>
      <c r="C226" t="s">
        <v>25</v>
      </c>
      <c r="D226" t="s">
        <v>26</v>
      </c>
      <c r="E226" t="s">
        <v>17</v>
      </c>
      <c r="F226">
        <v>1</v>
      </c>
      <c r="G226">
        <v>800</v>
      </c>
      <c r="H226">
        <v>800</v>
      </c>
    </row>
    <row r="227" spans="1:8" x14ac:dyDescent="0.25">
      <c r="A227" t="s">
        <v>453</v>
      </c>
      <c r="B227" t="s">
        <v>454</v>
      </c>
      <c r="C227" t="s">
        <v>38</v>
      </c>
      <c r="D227" t="s">
        <v>26</v>
      </c>
      <c r="E227" t="s">
        <v>17</v>
      </c>
      <c r="F227">
        <v>2</v>
      </c>
      <c r="G227">
        <v>700</v>
      </c>
      <c r="H227">
        <v>1400</v>
      </c>
    </row>
    <row r="228" spans="1:8" x14ac:dyDescent="0.25">
      <c r="A228" t="s">
        <v>461</v>
      </c>
      <c r="B228" t="s">
        <v>462</v>
      </c>
      <c r="C228" t="s">
        <v>25</v>
      </c>
      <c r="D228" t="s">
        <v>26</v>
      </c>
      <c r="E228" t="s">
        <v>17</v>
      </c>
      <c r="F228">
        <v>2</v>
      </c>
      <c r="G228">
        <v>750</v>
      </c>
      <c r="H228">
        <v>1500</v>
      </c>
    </row>
    <row r="229" spans="1:8" x14ac:dyDescent="0.25">
      <c r="A229" t="s">
        <v>469</v>
      </c>
      <c r="B229" t="s">
        <v>470</v>
      </c>
      <c r="C229" t="s">
        <v>38</v>
      </c>
      <c r="D229" t="s">
        <v>26</v>
      </c>
      <c r="E229" t="s">
        <v>17</v>
      </c>
      <c r="F229">
        <v>10</v>
      </c>
      <c r="G229">
        <v>20</v>
      </c>
      <c r="H229">
        <v>200</v>
      </c>
    </row>
    <row r="230" spans="1:8" x14ac:dyDescent="0.25">
      <c r="A230" t="s">
        <v>477</v>
      </c>
      <c r="B230" t="s">
        <v>478</v>
      </c>
      <c r="C230" t="s">
        <v>25</v>
      </c>
      <c r="D230" t="s">
        <v>26</v>
      </c>
      <c r="E230" t="s">
        <v>17</v>
      </c>
      <c r="F230">
        <v>8</v>
      </c>
      <c r="G230">
        <v>25</v>
      </c>
      <c r="H230">
        <v>200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5985-DB72-43E2-A6C6-90F4140B0127}">
  <dimension ref="A1:M37"/>
  <sheetViews>
    <sheetView topLeftCell="A25" workbookViewId="0">
      <selection activeCell="A10" sqref="A10:B18"/>
    </sheetView>
  </sheetViews>
  <sheetFormatPr defaultRowHeight="15" x14ac:dyDescent="0.25"/>
  <cols>
    <col min="1" max="1" width="21.42578125" bestFit="1" customWidth="1"/>
    <col min="2" max="2" width="16.42578125" bestFit="1" customWidth="1"/>
    <col min="3" max="3" width="12.5703125" bestFit="1" customWidth="1"/>
    <col min="5" max="5" width="11.28515625" bestFit="1" customWidth="1"/>
    <col min="6" max="6" width="16.28515625" bestFit="1" customWidth="1"/>
    <col min="7" max="7" width="10.5703125" bestFit="1" customWidth="1"/>
    <col min="8" max="8" width="11.85546875" bestFit="1" customWidth="1"/>
    <col min="9" max="9" width="17" bestFit="1" customWidth="1"/>
    <col min="10" max="10" width="11.28515625" bestFit="1" customWidth="1"/>
    <col min="11" max="12" width="3" bestFit="1" customWidth="1"/>
    <col min="13" max="13" width="11.28515625" bestFit="1" customWidth="1"/>
    <col min="14" max="16" width="2" bestFit="1" customWidth="1"/>
    <col min="17" max="17" width="15.5703125" bestFit="1" customWidth="1"/>
    <col min="18" max="18" width="7.28515625" bestFit="1" customWidth="1"/>
    <col min="19" max="20" width="2" bestFit="1" customWidth="1"/>
    <col min="21" max="21" width="3" bestFit="1" customWidth="1"/>
    <col min="22" max="22" width="10.28515625" bestFit="1" customWidth="1"/>
    <col min="23" max="23" width="11.140625" bestFit="1" customWidth="1"/>
    <col min="24" max="25" width="2" bestFit="1" customWidth="1"/>
    <col min="26" max="26" width="3" bestFit="1" customWidth="1"/>
    <col min="27" max="27" width="14.28515625" bestFit="1" customWidth="1"/>
    <col min="28" max="28" width="11.28515625" bestFit="1" customWidth="1"/>
  </cols>
  <sheetData>
    <row r="1" spans="1:13" x14ac:dyDescent="0.25">
      <c r="A1" s="11" t="s">
        <v>514</v>
      </c>
      <c r="B1" s="11"/>
      <c r="C1" s="11"/>
      <c r="E1" t="s">
        <v>517</v>
      </c>
    </row>
    <row r="2" spans="1:13" x14ac:dyDescent="0.25">
      <c r="A2" s="2" t="s">
        <v>518</v>
      </c>
      <c r="B2" t="s">
        <v>519</v>
      </c>
      <c r="E2" s="2" t="s">
        <v>521</v>
      </c>
      <c r="F2" t="s">
        <v>522</v>
      </c>
      <c r="H2" s="2" t="s">
        <v>518</v>
      </c>
      <c r="I2" t="s">
        <v>522</v>
      </c>
    </row>
    <row r="3" spans="1:13" x14ac:dyDescent="0.25">
      <c r="A3" s="3" t="s">
        <v>21</v>
      </c>
      <c r="B3">
        <v>174</v>
      </c>
      <c r="E3" s="3" t="s">
        <v>22</v>
      </c>
      <c r="F3" s="6">
        <v>46960</v>
      </c>
      <c r="H3" s="3" t="s">
        <v>21</v>
      </c>
      <c r="I3" s="6">
        <v>46960</v>
      </c>
      <c r="M3">
        <f>DASHBOARD!$I$6</f>
        <v>0</v>
      </c>
    </row>
    <row r="4" spans="1:13" x14ac:dyDescent="0.25">
      <c r="A4" s="3" t="s">
        <v>10</v>
      </c>
      <c r="B4">
        <v>171</v>
      </c>
      <c r="E4" s="3" t="s">
        <v>11</v>
      </c>
      <c r="F4" s="6">
        <v>50330</v>
      </c>
      <c r="H4" s="3" t="s">
        <v>10</v>
      </c>
      <c r="I4" s="6">
        <v>50330</v>
      </c>
    </row>
    <row r="5" spans="1:13" x14ac:dyDescent="0.25">
      <c r="A5" s="3" t="s">
        <v>15</v>
      </c>
      <c r="B5">
        <v>256</v>
      </c>
      <c r="E5" s="3" t="s">
        <v>17</v>
      </c>
      <c r="F5" s="6">
        <v>45500</v>
      </c>
      <c r="H5" s="3" t="s">
        <v>15</v>
      </c>
      <c r="I5" s="6">
        <v>47300</v>
      </c>
    </row>
    <row r="6" spans="1:13" x14ac:dyDescent="0.25">
      <c r="A6" s="3" t="s">
        <v>26</v>
      </c>
      <c r="B6">
        <v>271</v>
      </c>
      <c r="E6" s="3" t="s">
        <v>16</v>
      </c>
      <c r="F6" s="6">
        <v>47300</v>
      </c>
      <c r="H6" s="3" t="s">
        <v>26</v>
      </c>
      <c r="I6" s="6">
        <v>45500</v>
      </c>
      <c r="J6" t="s">
        <v>529</v>
      </c>
    </row>
    <row r="7" spans="1:13" x14ac:dyDescent="0.25">
      <c r="A7" s="3" t="s">
        <v>520</v>
      </c>
      <c r="B7">
        <v>872</v>
      </c>
      <c r="E7" s="3" t="s">
        <v>506</v>
      </c>
      <c r="F7" s="6">
        <v>190090</v>
      </c>
      <c r="H7" s="3" t="s">
        <v>506</v>
      </c>
      <c r="I7" s="6">
        <v>190090</v>
      </c>
    </row>
    <row r="10" spans="1:13" x14ac:dyDescent="0.25">
      <c r="A10" s="2" t="s">
        <v>523</v>
      </c>
      <c r="B10" t="s">
        <v>519</v>
      </c>
      <c r="E10" s="2" t="s">
        <v>518</v>
      </c>
      <c r="F10" t="s">
        <v>524</v>
      </c>
      <c r="H10" s="2" t="s">
        <v>521</v>
      </c>
      <c r="I10" t="s">
        <v>525</v>
      </c>
    </row>
    <row r="11" spans="1:13" x14ac:dyDescent="0.25">
      <c r="A11" s="3" t="s">
        <v>35</v>
      </c>
      <c r="B11">
        <v>87</v>
      </c>
      <c r="E11" s="3" t="s">
        <v>21</v>
      </c>
      <c r="F11">
        <v>57</v>
      </c>
      <c r="H11" s="3" t="s">
        <v>22</v>
      </c>
      <c r="I11">
        <v>24240</v>
      </c>
    </row>
    <row r="12" spans="1:13" x14ac:dyDescent="0.25">
      <c r="A12" s="3" t="s">
        <v>20</v>
      </c>
      <c r="B12">
        <v>87</v>
      </c>
      <c r="E12" s="3" t="s">
        <v>10</v>
      </c>
      <c r="F12">
        <v>58</v>
      </c>
      <c r="H12" s="3" t="s">
        <v>11</v>
      </c>
      <c r="I12">
        <v>26245</v>
      </c>
    </row>
    <row r="13" spans="1:13" x14ac:dyDescent="0.25">
      <c r="A13" s="3" t="s">
        <v>32</v>
      </c>
      <c r="B13">
        <v>128</v>
      </c>
      <c r="E13" s="3" t="s">
        <v>15</v>
      </c>
      <c r="F13">
        <v>57</v>
      </c>
      <c r="G13" t="s">
        <v>531</v>
      </c>
      <c r="H13" s="3" t="s">
        <v>17</v>
      </c>
      <c r="I13">
        <v>25290</v>
      </c>
    </row>
    <row r="14" spans="1:13" x14ac:dyDescent="0.25">
      <c r="A14" s="3" t="s">
        <v>9</v>
      </c>
      <c r="B14">
        <v>85</v>
      </c>
      <c r="E14" s="3" t="s">
        <v>26</v>
      </c>
      <c r="F14">
        <v>57</v>
      </c>
      <c r="H14" s="3" t="s">
        <v>16</v>
      </c>
      <c r="I14">
        <v>26745</v>
      </c>
    </row>
    <row r="15" spans="1:13" x14ac:dyDescent="0.25">
      <c r="A15" s="3" t="s">
        <v>38</v>
      </c>
      <c r="B15">
        <v>135</v>
      </c>
      <c r="E15" s="3" t="s">
        <v>506</v>
      </c>
      <c r="F15">
        <v>229</v>
      </c>
      <c r="H15" s="3" t="s">
        <v>506</v>
      </c>
      <c r="I15">
        <v>102520</v>
      </c>
    </row>
    <row r="16" spans="1:13" x14ac:dyDescent="0.25">
      <c r="A16" s="3" t="s">
        <v>14</v>
      </c>
      <c r="B16">
        <v>128</v>
      </c>
    </row>
    <row r="17" spans="1:10" x14ac:dyDescent="0.25">
      <c r="A17" s="3" t="s">
        <v>29</v>
      </c>
      <c r="B17">
        <v>86</v>
      </c>
    </row>
    <row r="18" spans="1:10" x14ac:dyDescent="0.25">
      <c r="A18" s="3" t="s">
        <v>25</v>
      </c>
      <c r="B18">
        <v>136</v>
      </c>
    </row>
    <row r="19" spans="1:10" x14ac:dyDescent="0.25">
      <c r="A19" s="3" t="s">
        <v>506</v>
      </c>
      <c r="B19">
        <v>872</v>
      </c>
      <c r="E19" s="2" t="s">
        <v>526</v>
      </c>
      <c r="F19" s="2" t="s">
        <v>516</v>
      </c>
    </row>
    <row r="20" spans="1:10" x14ac:dyDescent="0.25">
      <c r="E20" s="2" t="s">
        <v>518</v>
      </c>
      <c r="F20" t="s">
        <v>22</v>
      </c>
      <c r="G20" t="s">
        <v>11</v>
      </c>
      <c r="H20" t="s">
        <v>17</v>
      </c>
      <c r="I20" t="s">
        <v>16</v>
      </c>
      <c r="J20" t="s">
        <v>506</v>
      </c>
    </row>
    <row r="21" spans="1:10" x14ac:dyDescent="0.25">
      <c r="E21" s="3" t="s">
        <v>21</v>
      </c>
      <c r="F21">
        <v>174</v>
      </c>
      <c r="J21">
        <v>174</v>
      </c>
    </row>
    <row r="22" spans="1:10" x14ac:dyDescent="0.25">
      <c r="E22" s="3" t="s">
        <v>10</v>
      </c>
      <c r="G22">
        <v>171</v>
      </c>
      <c r="J22">
        <v>171</v>
      </c>
    </row>
    <row r="23" spans="1:10" x14ac:dyDescent="0.25">
      <c r="E23" s="3" t="s">
        <v>15</v>
      </c>
      <c r="I23">
        <v>256</v>
      </c>
      <c r="J23">
        <v>256</v>
      </c>
    </row>
    <row r="24" spans="1:10" x14ac:dyDescent="0.25">
      <c r="E24" s="3" t="s">
        <v>26</v>
      </c>
      <c r="H24">
        <v>271</v>
      </c>
      <c r="J24">
        <v>271</v>
      </c>
    </row>
    <row r="25" spans="1:10" x14ac:dyDescent="0.25">
      <c r="E25" s="3" t="s">
        <v>506</v>
      </c>
      <c r="F25">
        <v>174</v>
      </c>
      <c r="G25">
        <v>171</v>
      </c>
      <c r="H25">
        <v>271</v>
      </c>
      <c r="I25">
        <v>256</v>
      </c>
      <c r="J25">
        <v>872</v>
      </c>
    </row>
    <row r="28" spans="1:10" x14ac:dyDescent="0.25">
      <c r="A28" s="2" t="s">
        <v>521</v>
      </c>
      <c r="B28" t="s">
        <v>528</v>
      </c>
      <c r="C28" s="13" t="s">
        <v>527</v>
      </c>
      <c r="E28" s="2" t="s">
        <v>530</v>
      </c>
      <c r="F28" t="s">
        <v>515</v>
      </c>
    </row>
    <row r="29" spans="1:10" x14ac:dyDescent="0.25">
      <c r="A29" s="3" t="s">
        <v>22</v>
      </c>
      <c r="B29" s="12">
        <v>425.26315789473682</v>
      </c>
      <c r="C29" s="13">
        <v>46960</v>
      </c>
      <c r="E29" s="3" t="s">
        <v>29</v>
      </c>
      <c r="F29" s="6">
        <v>25200</v>
      </c>
    </row>
    <row r="30" spans="1:10" x14ac:dyDescent="0.25">
      <c r="A30" s="3" t="s">
        <v>11</v>
      </c>
      <c r="B30" s="12">
        <v>452.5</v>
      </c>
      <c r="C30" s="13">
        <v>50330</v>
      </c>
      <c r="E30" s="3" t="s">
        <v>9</v>
      </c>
      <c r="F30" s="6">
        <v>25130</v>
      </c>
    </row>
    <row r="31" spans="1:10" x14ac:dyDescent="0.25">
      <c r="A31" s="3" t="s">
        <v>17</v>
      </c>
      <c r="B31" s="12">
        <v>443.68421052631578</v>
      </c>
      <c r="C31" s="13">
        <v>45500</v>
      </c>
      <c r="E31" s="3" t="s">
        <v>14</v>
      </c>
      <c r="F31" s="6">
        <v>24400</v>
      </c>
    </row>
    <row r="32" spans="1:10" x14ac:dyDescent="0.25">
      <c r="A32" s="3" t="s">
        <v>16</v>
      </c>
      <c r="B32" s="12">
        <v>469.21052631578948</v>
      </c>
      <c r="C32" s="13">
        <v>47300</v>
      </c>
      <c r="E32" s="3" t="s">
        <v>20</v>
      </c>
      <c r="F32" s="6">
        <v>23580</v>
      </c>
    </row>
    <row r="33" spans="1:6" x14ac:dyDescent="0.25">
      <c r="A33" s="3" t="s">
        <v>506</v>
      </c>
      <c r="B33" s="12">
        <v>447.68558951965065</v>
      </c>
      <c r="C33" s="13">
        <v>190090</v>
      </c>
      <c r="E33" s="3" t="s">
        <v>35</v>
      </c>
      <c r="F33" s="6">
        <v>23380</v>
      </c>
    </row>
    <row r="34" spans="1:6" x14ac:dyDescent="0.25">
      <c r="E34" s="3" t="s">
        <v>25</v>
      </c>
      <c r="F34" s="6">
        <v>23200</v>
      </c>
    </row>
    <row r="35" spans="1:6" x14ac:dyDescent="0.25">
      <c r="E35" s="3" t="s">
        <v>32</v>
      </c>
      <c r="F35" s="6">
        <v>22900</v>
      </c>
    </row>
    <row r="36" spans="1:6" x14ac:dyDescent="0.25">
      <c r="E36" s="3" t="s">
        <v>38</v>
      </c>
      <c r="F36" s="6">
        <v>22300</v>
      </c>
    </row>
    <row r="37" spans="1:6" x14ac:dyDescent="0.25">
      <c r="E37" s="3" t="s">
        <v>506</v>
      </c>
      <c r="F37" s="6">
        <v>190090</v>
      </c>
    </row>
  </sheetData>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92909-363B-4C53-9727-620DCBA47972}">
  <dimension ref="I5:M6"/>
  <sheetViews>
    <sheetView showGridLines="0" showRowColHeaders="0" workbookViewId="0">
      <selection activeCell="F5" sqref="F5"/>
    </sheetView>
  </sheetViews>
  <sheetFormatPr defaultRowHeight="15" x14ac:dyDescent="0.25"/>
  <cols>
    <col min="11" max="11" width="24.28515625" bestFit="1" customWidth="1"/>
  </cols>
  <sheetData>
    <row r="5" spans="9:13" ht="26.25" x14ac:dyDescent="0.4">
      <c r="I5" s="14">
        <f>pivot_table!B7</f>
        <v>872</v>
      </c>
      <c r="K5" s="15">
        <f>pivot_table!F7</f>
        <v>190090</v>
      </c>
      <c r="M5" s="14">
        <f>pivot_table!F15</f>
        <v>229</v>
      </c>
    </row>
    <row r="6" spans="9:13" ht="15.75" x14ac:dyDescent="0.25">
      <c r="M6"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business insight</vt:lpstr>
      <vt:lpstr>Sheet2</vt:lpstr>
      <vt:lpstr>Sheet3</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2026-02-26T22:26:50Z</dcterms:created>
  <dcterms:modified xsi:type="dcterms:W3CDTF">2026-09-08T15:24:08Z</dcterms:modified>
</cp:coreProperties>
</file>